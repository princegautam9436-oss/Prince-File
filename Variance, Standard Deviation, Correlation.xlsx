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ince\Excel\"/>
    </mc:Choice>
  </mc:AlternateContent>
  <xr:revisionPtr revIDLastSave="0" documentId="13_ncr:1_{6EAF9DCF-EB85-4C0F-AB71-33466DEEC20A}" xr6:coauthVersionLast="47" xr6:coauthVersionMax="47" xr10:uidLastSave="{00000000-0000-0000-0000-000000000000}"/>
  <bookViews>
    <workbookView xWindow="-120" yWindow="-120" windowWidth="25440" windowHeight="15390" activeTab="5" xr2:uid="{00000000-000D-0000-FFFF-FFFF00000000}"/>
  </bookViews>
  <sheets>
    <sheet name="stock" sheetId="1" r:id="rId1"/>
    <sheet name="school" sheetId="2" r:id="rId2"/>
    <sheet name="correlation" sheetId="3" r:id="rId3"/>
    <sheet name="Bar Chart" sheetId="4" r:id="rId4"/>
    <sheet name="Pie Chart" sheetId="5" r:id="rId5"/>
    <sheet name="Line cha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3" l="1"/>
  <c r="B18" i="3"/>
  <c r="B8" i="3"/>
  <c r="H23" i="2"/>
  <c r="B23" i="2"/>
  <c r="J15" i="1"/>
  <c r="B15" i="1"/>
  <c r="J14" i="1"/>
  <c r="B14" i="1"/>
  <c r="J13" i="1"/>
  <c r="J12" i="1"/>
  <c r="J11" i="1"/>
  <c r="J10" i="1"/>
  <c r="J9" i="1"/>
  <c r="L3" i="1"/>
  <c r="L4" i="1"/>
  <c r="L5" i="1"/>
  <c r="L6" i="1"/>
  <c r="L2" i="1"/>
  <c r="J8" i="1"/>
  <c r="M2" i="1" s="1"/>
  <c r="M4" i="1"/>
  <c r="M5" i="1"/>
  <c r="M6" i="1"/>
  <c r="B13" i="1"/>
  <c r="B12" i="1"/>
  <c r="B11" i="1"/>
  <c r="B10" i="1"/>
  <c r="B9" i="1"/>
  <c r="E3" i="1"/>
  <c r="E4" i="1"/>
  <c r="E5" i="1"/>
  <c r="E6" i="1"/>
  <c r="E2" i="1"/>
  <c r="D3" i="1"/>
  <c r="D4" i="1"/>
  <c r="D5" i="1"/>
  <c r="D6" i="1"/>
  <c r="D2" i="1"/>
  <c r="B8" i="1"/>
  <c r="H22" i="2"/>
  <c r="H21" i="2"/>
  <c r="B21" i="2"/>
  <c r="B22" i="2"/>
  <c r="H20" i="2"/>
  <c r="H19" i="2"/>
  <c r="H18" i="2"/>
  <c r="H17" i="2"/>
  <c r="J4" i="2"/>
  <c r="J5" i="2"/>
  <c r="J6" i="2"/>
  <c r="J7" i="2"/>
  <c r="J8" i="2"/>
  <c r="J9" i="2"/>
  <c r="J10" i="2"/>
  <c r="J11" i="2"/>
  <c r="J12" i="2"/>
  <c r="J3" i="2"/>
  <c r="I4" i="2"/>
  <c r="I5" i="2"/>
  <c r="I6" i="2"/>
  <c r="I7" i="2"/>
  <c r="I8" i="2"/>
  <c r="I9" i="2"/>
  <c r="I10" i="2"/>
  <c r="I11" i="2"/>
  <c r="I12" i="2"/>
  <c r="I3" i="2"/>
  <c r="H16" i="2"/>
  <c r="B20" i="2"/>
  <c r="B19" i="2"/>
  <c r="B18" i="2"/>
  <c r="B17" i="2"/>
  <c r="D4" i="2"/>
  <c r="D5" i="2"/>
  <c r="D6" i="2"/>
  <c r="D7" i="2"/>
  <c r="D8" i="2"/>
  <c r="D9" i="2"/>
  <c r="D10" i="2"/>
  <c r="D11" i="2"/>
  <c r="D12" i="2"/>
  <c r="D3" i="2"/>
  <c r="C4" i="2"/>
  <c r="C5" i="2"/>
  <c r="C6" i="2"/>
  <c r="C7" i="2"/>
  <c r="C8" i="2"/>
  <c r="C9" i="2"/>
  <c r="C10" i="2"/>
  <c r="C11" i="2"/>
  <c r="C12" i="2"/>
  <c r="C3" i="2"/>
  <c r="B16" i="2"/>
  <c r="M3" i="1" l="1"/>
</calcChain>
</file>

<file path=xl/sharedStrings.xml><?xml version="1.0" encoding="utf-8"?>
<sst xmlns="http://schemas.openxmlformats.org/spreadsheetml/2006/main" count="166" uniqueCount="96">
  <si>
    <t>Stock</t>
  </si>
  <si>
    <t>Date</t>
  </si>
  <si>
    <t>Daily Return</t>
  </si>
  <si>
    <t>Tata Motors</t>
  </si>
  <si>
    <t>Archana Vidhya Bhavan</t>
  </si>
  <si>
    <t>Study Hours</t>
  </si>
  <si>
    <t>Titan</t>
  </si>
  <si>
    <t>Ramkrishna Vidhya Bhavan</t>
  </si>
  <si>
    <t>Student</t>
  </si>
  <si>
    <t>Marks</t>
  </si>
  <si>
    <t>Shoe Size</t>
  </si>
  <si>
    <t>Exam Marks</t>
  </si>
  <si>
    <t>A</t>
  </si>
  <si>
    <t>B</t>
  </si>
  <si>
    <t>C</t>
  </si>
  <si>
    <t>D</t>
  </si>
  <si>
    <t>E</t>
  </si>
  <si>
    <t>F</t>
  </si>
  <si>
    <t>G</t>
  </si>
  <si>
    <t>Exercise Hours/Week</t>
  </si>
  <si>
    <t>Weight</t>
  </si>
  <si>
    <t>Mean</t>
  </si>
  <si>
    <t>Median</t>
  </si>
  <si>
    <t>marks-mean</t>
  </si>
  <si>
    <t>sqr</t>
  </si>
  <si>
    <t>total students</t>
  </si>
  <si>
    <t>total sqr</t>
  </si>
  <si>
    <t>variance</t>
  </si>
  <si>
    <t>VARIANCE</t>
  </si>
  <si>
    <t>root of variance</t>
  </si>
  <si>
    <t>return-mean</t>
  </si>
  <si>
    <t>total stock</t>
  </si>
  <si>
    <t>standard deviation</t>
  </si>
  <si>
    <t>standard</t>
  </si>
  <si>
    <t>Correlation</t>
  </si>
  <si>
    <t>Emp ID</t>
  </si>
  <si>
    <t>Name</t>
  </si>
  <si>
    <t>Department</t>
  </si>
  <si>
    <t>Sales</t>
  </si>
  <si>
    <t>Target</t>
  </si>
  <si>
    <t>Experience</t>
  </si>
  <si>
    <t>E101</t>
  </si>
  <si>
    <t>Amit</t>
  </si>
  <si>
    <t>E102</t>
  </si>
  <si>
    <t>Neha</t>
  </si>
  <si>
    <t>E103</t>
  </si>
  <si>
    <t>Raj</t>
  </si>
  <si>
    <t>HR</t>
  </si>
  <si>
    <t>E104</t>
  </si>
  <si>
    <t>Priya</t>
  </si>
  <si>
    <t>E105</t>
  </si>
  <si>
    <t>Karan</t>
  </si>
  <si>
    <t>IT</t>
  </si>
  <si>
    <t>Product ID</t>
  </si>
  <si>
    <t>Product</t>
  </si>
  <si>
    <t>Category</t>
  </si>
  <si>
    <t>P101</t>
  </si>
  <si>
    <t>Mouse</t>
  </si>
  <si>
    <t>Accessory</t>
  </si>
  <si>
    <t>P102</t>
  </si>
  <si>
    <t>Laptop</t>
  </si>
  <si>
    <t>Electronics</t>
  </si>
  <si>
    <t>P103</t>
  </si>
  <si>
    <t>Keyboard</t>
  </si>
  <si>
    <t>P104</t>
  </si>
  <si>
    <t>Monitor</t>
  </si>
  <si>
    <t>P105</t>
  </si>
  <si>
    <t>Printer</t>
  </si>
  <si>
    <t>MovieID</t>
  </si>
  <si>
    <t>Title</t>
  </si>
  <si>
    <t>Genre</t>
  </si>
  <si>
    <t>ReleaseYear</t>
  </si>
  <si>
    <t>ReleaseDate</t>
  </si>
  <si>
    <t>Country</t>
  </si>
  <si>
    <t>BudgetUSD</t>
  </si>
  <si>
    <t>US_BoxOfficeUSD</t>
  </si>
  <si>
    <t>Drama</t>
  </si>
  <si>
    <t>USA</t>
  </si>
  <si>
    <t>A beat</t>
  </si>
  <si>
    <t>Thriller</t>
  </si>
  <si>
    <t>A drive write</t>
  </si>
  <si>
    <t>Horror</t>
  </si>
  <si>
    <t>A from</t>
  </si>
  <si>
    <t>Comedy</t>
  </si>
  <si>
    <t>A heart single</t>
  </si>
  <si>
    <t>Canada</t>
  </si>
  <si>
    <t>A his area</t>
  </si>
  <si>
    <t>A hotel stand</t>
  </si>
  <si>
    <t>A page us</t>
  </si>
  <si>
    <t>A push buy</t>
  </si>
  <si>
    <t>A stage culture</t>
  </si>
  <si>
    <t>A understand raise</t>
  </si>
  <si>
    <t>Documentary</t>
  </si>
  <si>
    <t>A use education</t>
  </si>
  <si>
    <t>Ability art attention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</si>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</sst>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0.0"/>
  </numFmts>
  <fonts count="6">
    <font>
      <sz val="10"/>
      <color rgb="FF000000"/>
      <name val="Arial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165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correlation!$A$2:$A$6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correlation!$B$2:$B$6</c:f>
              <c:numCache>
                <c:formatCode>General</c:formatCode>
                <c:ptCount val="5"/>
                <c:pt idx="0">
                  <c:v>45</c:v>
                </c:pt>
                <c:pt idx="1">
                  <c:v>52</c:v>
                </c:pt>
                <c:pt idx="2">
                  <c:v>60</c:v>
                </c:pt>
                <c:pt idx="3">
                  <c:v>68</c:v>
                </c:pt>
                <c:pt idx="4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5-4BF3-89F6-953E7D760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016032"/>
        <c:axId val="1174864992"/>
      </c:scatterChart>
      <c:valAx>
        <c:axId val="14050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64992"/>
        <c:crosses val="autoZero"/>
        <c:crossBetween val="midCat"/>
      </c:valAx>
      <c:valAx>
        <c:axId val="11748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correlation!$A$12:$A$16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correlation!$B$12:$B$16</c:f>
              <c:numCache>
                <c:formatCode>General</c:formatCode>
                <c:ptCount val="5"/>
                <c:pt idx="0">
                  <c:v>80</c:v>
                </c:pt>
                <c:pt idx="1">
                  <c:v>77</c:v>
                </c:pt>
                <c:pt idx="2">
                  <c:v>75</c:v>
                </c:pt>
                <c:pt idx="3">
                  <c:v>72</c:v>
                </c:pt>
                <c:pt idx="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F-48C5-8594-7EEFF5281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886800"/>
        <c:axId val="1174860672"/>
      </c:scatterChart>
      <c:valAx>
        <c:axId val="14118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60672"/>
        <c:crosses val="autoZero"/>
        <c:crossBetween val="midCat"/>
      </c:valAx>
      <c:valAx>
        <c:axId val="11748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correlation!$K$2:$K$8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correlation!$L$2:$L$8</c:f>
              <c:numCache>
                <c:formatCode>General</c:formatCode>
                <c:ptCount val="7"/>
                <c:pt idx="0">
                  <c:v>72</c:v>
                </c:pt>
                <c:pt idx="1">
                  <c:v>30</c:v>
                </c:pt>
                <c:pt idx="2">
                  <c:v>10</c:v>
                </c:pt>
                <c:pt idx="3">
                  <c:v>63</c:v>
                </c:pt>
                <c:pt idx="4">
                  <c:v>10</c:v>
                </c:pt>
                <c:pt idx="5">
                  <c:v>80</c:v>
                </c:pt>
                <c:pt idx="6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D-4310-A501-2B2442386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590752"/>
        <c:axId val="1413364640"/>
      </c:scatterChart>
      <c:valAx>
        <c:axId val="140259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64640"/>
        <c:crosses val="autoZero"/>
        <c:crossBetween val="midCat"/>
      </c:valAx>
      <c:valAx>
        <c:axId val="14133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9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120729373792002"/>
          <c:y val="4.09468854412542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41562108704737"/>
          <c:y val="9.7048309909243E-2"/>
          <c:w val="0.74083603479803262"/>
          <c:h val="0.70083893876375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Chart'!$D$1</c:f>
              <c:strCache>
                <c:ptCount val="1"/>
                <c:pt idx="0">
                  <c:v>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Chart'!$B$2:$B$6</c:f>
              <c:strCache>
                <c:ptCount val="5"/>
                <c:pt idx="0">
                  <c:v>Amit</c:v>
                </c:pt>
                <c:pt idx="1">
                  <c:v>Neha</c:v>
                </c:pt>
                <c:pt idx="2">
                  <c:v>Raj</c:v>
                </c:pt>
                <c:pt idx="3">
                  <c:v>Priya</c:v>
                </c:pt>
                <c:pt idx="4">
                  <c:v>Karan</c:v>
                </c:pt>
              </c:strCache>
            </c:strRef>
          </c:cat>
          <c:val>
            <c:numRef>
              <c:f>'Bar Chart'!$D$2:$D$6</c:f>
              <c:numCache>
                <c:formatCode>General</c:formatCode>
                <c:ptCount val="5"/>
                <c:pt idx="0">
                  <c:v>650000</c:v>
                </c:pt>
                <c:pt idx="1">
                  <c:v>550000</c:v>
                </c:pt>
                <c:pt idx="2">
                  <c:v>300000</c:v>
                </c:pt>
                <c:pt idx="3">
                  <c:v>720000</c:v>
                </c:pt>
                <c:pt idx="4">
                  <c:v>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0-4EDE-8ABA-2DC48B5636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390489679"/>
        <c:axId val="1309733567"/>
      </c:barChart>
      <c:catAx>
        <c:axId val="13904896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Name</a:t>
                </a:r>
              </a:p>
            </c:rich>
          </c:tx>
          <c:layout>
            <c:manualLayout>
              <c:xMode val="edge"/>
              <c:yMode val="edge"/>
              <c:x val="0.44965534420425152"/>
              <c:y val="0.900172460543484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33567"/>
        <c:crosses val="autoZero"/>
        <c:auto val="1"/>
        <c:lblAlgn val="ctr"/>
        <c:lblOffset val="100"/>
        <c:noMultiLvlLbl val="0"/>
      </c:catAx>
      <c:valAx>
        <c:axId val="13097335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4.7998966925788021E-3"/>
              <c:y val="0.43814187133420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8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layout>
        <c:manualLayout>
          <c:xMode val="edge"/>
          <c:yMode val="edge"/>
          <c:x val="0.42347492635620276"/>
          <c:y val="0.79256975815754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531478401471674"/>
          <c:y val="9.9525751516214664E-2"/>
          <c:w val="0.33979649927487615"/>
          <c:h val="0.54488701177784538"/>
        </c:manualLayout>
      </c:layout>
      <c:pieChart>
        <c:varyColors val="1"/>
        <c:ser>
          <c:idx val="0"/>
          <c:order val="0"/>
          <c:tx>
            <c:strRef>
              <c:f>'Pie Chart'!$D$1</c:f>
              <c:strCache>
                <c:ptCount val="1"/>
                <c:pt idx="0">
                  <c:v>Stock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964-4E62-A809-7053330CA1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64-4E62-A809-7053330CA1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964-4E62-A809-7053330CA1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964-4E62-A809-7053330CA1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64-4E62-A809-7053330CA11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964-4E62-A809-7053330CA11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964-4E62-A809-7053330CA11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964-4E62-A809-7053330CA11F}"/>
                </c:ext>
              </c:extLst>
            </c:dLbl>
            <c:dLbl>
              <c:idx val="3"/>
              <c:layout>
                <c:manualLayout>
                  <c:x val="-4.2587347503305319E-2"/>
                  <c:y val="5.62414004905844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64-4E62-A809-7053330CA11F}"/>
                </c:ext>
              </c:extLst>
            </c:dLbl>
            <c:dLbl>
              <c:idx val="4"/>
              <c:layout>
                <c:manualLayout>
                  <c:x val="6.1945232732080469E-2"/>
                  <c:y val="-2.81207002452922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64-4E62-A809-7053330CA11F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Chart'!$B$2:$B$6</c:f>
              <c:strCache>
                <c:ptCount val="5"/>
                <c:pt idx="0">
                  <c:v>Mouse</c:v>
                </c:pt>
                <c:pt idx="1">
                  <c:v>Laptop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'Pie Chart'!$D$2:$D$6</c:f>
              <c:numCache>
                <c:formatCode>General</c:formatCode>
                <c:ptCount val="5"/>
                <c:pt idx="0">
                  <c:v>50</c:v>
                </c:pt>
                <c:pt idx="1">
                  <c:v>12</c:v>
                </c:pt>
                <c:pt idx="2">
                  <c:v>18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4-4E62-A809-7053330CA11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chart'!$G$1</c:f>
              <c:strCache>
                <c:ptCount val="1"/>
                <c:pt idx="0">
                  <c:v>BudgetUSD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6.392371740529347E-2"/>
                  <c:y val="2.7771496654634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6B-4B52-9ECB-C0093F9722BA}"/>
                </c:ext>
              </c:extLst>
            </c:dLbl>
            <c:dLbl>
              <c:idx val="4"/>
              <c:layout>
                <c:manualLayout>
                  <c:x val="-6.9297259936285771E-2"/>
                  <c:y val="1.9636285603558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6B-4B52-9ECB-C0093F9722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chart'!$B$2:$B$14</c:f>
              <c:strCache>
                <c:ptCount val="13"/>
                <c:pt idx="0">
                  <c:v>A</c:v>
                </c:pt>
                <c:pt idx="1">
                  <c:v>A beat</c:v>
                </c:pt>
                <c:pt idx="2">
                  <c:v>A drive write</c:v>
                </c:pt>
                <c:pt idx="3">
                  <c:v>A from</c:v>
                </c:pt>
                <c:pt idx="4">
                  <c:v>A heart single</c:v>
                </c:pt>
                <c:pt idx="5">
                  <c:v>A his area</c:v>
                </c:pt>
                <c:pt idx="6">
                  <c:v>A hotel stand</c:v>
                </c:pt>
                <c:pt idx="7">
                  <c:v>A page us</c:v>
                </c:pt>
                <c:pt idx="8">
                  <c:v>A push buy</c:v>
                </c:pt>
                <c:pt idx="9">
                  <c:v>A stage culture</c:v>
                </c:pt>
                <c:pt idx="10">
                  <c:v>A understand raise</c:v>
                </c:pt>
                <c:pt idx="11">
                  <c:v>A use education</c:v>
                </c:pt>
                <c:pt idx="12">
                  <c:v>Ability art attention</c:v>
                </c:pt>
              </c:strCache>
            </c:strRef>
          </c:cat>
          <c:val>
            <c:numRef>
              <c:f>'Line chart'!$G$2:$G$14</c:f>
              <c:numCache>
                <c:formatCode>General</c:formatCode>
                <c:ptCount val="13"/>
                <c:pt idx="0">
                  <c:v>811042.49</c:v>
                </c:pt>
                <c:pt idx="1">
                  <c:v>19064627.399999999</c:v>
                </c:pt>
                <c:pt idx="2">
                  <c:v>2857920.4</c:v>
                </c:pt>
                <c:pt idx="3">
                  <c:v>19775873.899999999</c:v>
                </c:pt>
                <c:pt idx="4">
                  <c:v>4256151.45</c:v>
                </c:pt>
                <c:pt idx="5">
                  <c:v>12772485.210000001</c:v>
                </c:pt>
                <c:pt idx="6">
                  <c:v>2588310.0299999998</c:v>
                </c:pt>
                <c:pt idx="7">
                  <c:v>4416464.05</c:v>
                </c:pt>
                <c:pt idx="8">
                  <c:v>1984243.7</c:v>
                </c:pt>
                <c:pt idx="9">
                  <c:v>1106466.43</c:v>
                </c:pt>
                <c:pt idx="10">
                  <c:v>10141711.59</c:v>
                </c:pt>
                <c:pt idx="11">
                  <c:v>6548250.0999999996</c:v>
                </c:pt>
                <c:pt idx="12">
                  <c:v>4927817.0999999996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B-4B52-9ECB-C0093F9722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4348159"/>
        <c:axId val="2133893599"/>
      </c:lineChart>
      <c:catAx>
        <c:axId val="14434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</a:t>
                </a:r>
                <a:r>
                  <a:rPr lang="en-IN" baseline="0"/>
                  <a:t> Name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893599"/>
        <c:crosses val="autoZero"/>
        <c:auto val="1"/>
        <c:lblAlgn val="ctr"/>
        <c:lblOffset val="100"/>
        <c:noMultiLvlLbl val="0"/>
      </c:catAx>
      <c:valAx>
        <c:axId val="2133893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371249</xdr:colOff>
      <xdr:row>0</xdr:row>
      <xdr:rowOff>31489</xdr:rowOff>
    </xdr:from>
    <xdr:to>
      <xdr:col>5</xdr:col>
      <xdr:colOff>814552</xdr:colOff>
      <xdr:row>8</xdr:row>
      <xdr:rowOff>177362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85CFA0-E8A4-6D6C-2F1A-0F03A4FA6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380999</xdr:colOff>
      <xdr:row>9</xdr:row>
      <xdr:rowOff>190500</xdr:rowOff>
    </xdr:from>
    <xdr:to>
      <xdr:col>5</xdr:col>
      <xdr:colOff>321879</xdr:colOff>
      <xdr:row>20</xdr:row>
      <xdr:rowOff>139919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F7C883-05C7-FF0C-5491-931AEEF3A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433552</xdr:colOff>
      <xdr:row>10</xdr:row>
      <xdr:rowOff>144517</xdr:rowOff>
    </xdr:from>
    <xdr:to>
      <xdr:col>11</xdr:col>
      <xdr:colOff>807983</xdr:colOff>
      <xdr:row>21</xdr:row>
      <xdr:rowOff>61091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1FA1E0-C11F-B116-A3CE-DDA088D9A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0.29787</cdr:x>
      <cdr:y>0.31106</cdr:y>
    </cdr:from>
    <cdr:to>
      <cdr:x>0.75414</cdr:x>
      <cdr:y>0.53668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66E7B48B-B5C3-E5B0-FD7A-0CE6EC866CB5}"/>
            </a:ext>
          </a:extLst>
        </cdr:cNvPr>
        <cdr:cNvCxnSpPr/>
      </cdr:nvCxnSpPr>
      <cdr:spPr>
        <a:xfrm xmlns:a="http://schemas.openxmlformats.org/drawingml/2006/main" flipV="1">
          <a:off x="883423" y="507166"/>
          <a:ext cx="1353207" cy="36786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0.248</cdr:x>
      <cdr:y>0.31582</cdr:y>
    </cdr:from>
    <cdr:to>
      <cdr:x>0.80533</cdr:x>
      <cdr:y>0.78311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73C8CC6-E709-E834-4720-44CBB436C440}"/>
            </a:ext>
          </a:extLst>
        </cdr:cNvPr>
        <cdr:cNvCxnSpPr/>
      </cdr:nvCxnSpPr>
      <cdr:spPr>
        <a:xfrm xmlns:a="http://schemas.openxmlformats.org/drawingml/2006/main">
          <a:off x="610915" y="643759"/>
          <a:ext cx="1372913" cy="952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244079</xdr:colOff>
      <xdr:row>6</xdr:row>
      <xdr:rowOff>65483</xdr:rowOff>
    </xdr:from>
    <xdr:to>
      <xdr:col>11</xdr:col>
      <xdr:colOff>202406</xdr:colOff>
      <xdr:row>25</xdr:row>
      <xdr:rowOff>113109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B6D1C-ECAB-1490-B2E4-923AFE79E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162622</xdr:colOff>
      <xdr:row>0</xdr:row>
      <xdr:rowOff>92925</xdr:rowOff>
    </xdr:from>
    <xdr:to>
      <xdr:col>9</xdr:col>
      <xdr:colOff>399585</xdr:colOff>
      <xdr:row>14</xdr:row>
      <xdr:rowOff>74341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977BF-F189-226D-F874-6B78AE493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538654</xdr:colOff>
      <xdr:row>14</xdr:row>
      <xdr:rowOff>44833</xdr:rowOff>
    </xdr:from>
    <xdr:to>
      <xdr:col>11</xdr:col>
      <xdr:colOff>563563</xdr:colOff>
      <xdr:row>33</xdr:row>
      <xdr:rowOff>150813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866F92-8402-6D15-9FBE-23DBB57C5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"/>
  <sheetViews>
    <sheetView zoomScale="130" zoomScaleNormal="130" workbookViewId="0">
      <selection activeCell="J16" sqref="J16"/>
    </sheetView>
  </sheetViews>
  <sheetFormatPr defaultColWidth="12.5703125" defaultRowHeight="15.75" customHeight="1"/>
  <cols>
    <col min="1" max="1" width="18.140625" bestFit="1" customWidth="1"/>
    <col min="9" max="9" width="18.140625" bestFit="1" customWidth="1"/>
  </cols>
  <sheetData>
    <row r="1" spans="1:13" s="7" customFormat="1" ht="15.75" customHeight="1">
      <c r="A1" s="8" t="s">
        <v>0</v>
      </c>
      <c r="B1" s="8" t="s">
        <v>1</v>
      </c>
      <c r="C1" s="8" t="s">
        <v>2</v>
      </c>
      <c r="D1" s="7" t="s">
        <v>30</v>
      </c>
      <c r="E1" s="7" t="s">
        <v>24</v>
      </c>
      <c r="I1" s="8" t="s">
        <v>0</v>
      </c>
      <c r="J1" s="8" t="s">
        <v>1</v>
      </c>
      <c r="K1" s="8" t="s">
        <v>2</v>
      </c>
      <c r="L1" s="7" t="s">
        <v>30</v>
      </c>
      <c r="M1" s="7" t="s">
        <v>24</v>
      </c>
    </row>
    <row r="2" spans="1:13" ht="14.25">
      <c r="A2" s="1" t="s">
        <v>3</v>
      </c>
      <c r="B2" s="2">
        <v>46089</v>
      </c>
      <c r="C2" s="4">
        <v>1.9</v>
      </c>
      <c r="D2">
        <f>C2-$B$8</f>
        <v>-0.10000000000000009</v>
      </c>
      <c r="E2">
        <f>D2*D2</f>
        <v>1.0000000000000018E-2</v>
      </c>
      <c r="I2" s="1" t="s">
        <v>6</v>
      </c>
      <c r="J2" s="2">
        <v>46089</v>
      </c>
      <c r="K2" s="4">
        <v>-5</v>
      </c>
      <c r="L2">
        <f>K2-$J$8</f>
        <v>-7</v>
      </c>
      <c r="M2" s="9">
        <f>L2*L2</f>
        <v>49</v>
      </c>
    </row>
    <row r="3" spans="1:13" ht="14.25">
      <c r="A3" s="1" t="s">
        <v>3</v>
      </c>
      <c r="B3" s="2">
        <v>46120</v>
      </c>
      <c r="C3" s="4">
        <v>2.1</v>
      </c>
      <c r="D3">
        <f t="shared" ref="D3:D6" si="0">C3-$B$8</f>
        <v>0.10000000000000009</v>
      </c>
      <c r="E3">
        <f t="shared" ref="E3:E6" si="1">D3*D3</f>
        <v>1.0000000000000018E-2</v>
      </c>
      <c r="I3" s="1" t="s">
        <v>6</v>
      </c>
      <c r="J3" s="2">
        <v>46120</v>
      </c>
      <c r="K3" s="4">
        <v>8</v>
      </c>
      <c r="L3">
        <f t="shared" ref="L3:L6" si="2">K3-$J$8</f>
        <v>6</v>
      </c>
      <c r="M3">
        <f t="shared" ref="M3:M6" si="3">L3*L3</f>
        <v>36</v>
      </c>
    </row>
    <row r="4" spans="1:13" ht="14.25">
      <c r="A4" s="1" t="s">
        <v>3</v>
      </c>
      <c r="B4" s="2">
        <v>46150</v>
      </c>
      <c r="C4" s="4">
        <v>2</v>
      </c>
      <c r="D4">
        <f t="shared" si="0"/>
        <v>0</v>
      </c>
      <c r="E4">
        <f t="shared" si="1"/>
        <v>0</v>
      </c>
      <c r="I4" s="1" t="s">
        <v>6</v>
      </c>
      <c r="J4" s="2">
        <v>46150</v>
      </c>
      <c r="K4" s="4">
        <v>2</v>
      </c>
      <c r="L4">
        <f t="shared" si="2"/>
        <v>0</v>
      </c>
      <c r="M4">
        <f t="shared" si="3"/>
        <v>0</v>
      </c>
    </row>
    <row r="5" spans="1:13" ht="14.25">
      <c r="A5" s="1" t="s">
        <v>3</v>
      </c>
      <c r="B5" s="2">
        <v>46181</v>
      </c>
      <c r="C5" s="4">
        <v>2.2000000000000002</v>
      </c>
      <c r="D5">
        <f t="shared" si="0"/>
        <v>0.20000000000000018</v>
      </c>
      <c r="E5">
        <f t="shared" si="1"/>
        <v>4.000000000000007E-2</v>
      </c>
      <c r="I5" s="1" t="s">
        <v>6</v>
      </c>
      <c r="J5" s="2">
        <v>46181</v>
      </c>
      <c r="K5" s="4">
        <v>-7</v>
      </c>
      <c r="L5">
        <f t="shared" si="2"/>
        <v>-9</v>
      </c>
      <c r="M5">
        <f t="shared" si="3"/>
        <v>81</v>
      </c>
    </row>
    <row r="6" spans="1:13" ht="14.25">
      <c r="A6" s="1" t="s">
        <v>3</v>
      </c>
      <c r="B6" s="2">
        <v>46211</v>
      </c>
      <c r="C6" s="4">
        <v>1.8</v>
      </c>
      <c r="D6">
        <f t="shared" si="0"/>
        <v>-0.19999999999999996</v>
      </c>
      <c r="E6">
        <f t="shared" si="1"/>
        <v>3.999999999999998E-2</v>
      </c>
      <c r="I6" s="1" t="s">
        <v>6</v>
      </c>
      <c r="J6" s="2">
        <v>46211</v>
      </c>
      <c r="K6" s="4">
        <v>12</v>
      </c>
      <c r="L6">
        <f t="shared" si="2"/>
        <v>10</v>
      </c>
      <c r="M6">
        <f t="shared" si="3"/>
        <v>100</v>
      </c>
    </row>
    <row r="8" spans="1:13" ht="15.75" customHeight="1">
      <c r="A8" s="8" t="s">
        <v>21</v>
      </c>
      <c r="B8">
        <f>AVERAGE(C2:C6)</f>
        <v>2</v>
      </c>
      <c r="I8" s="8" t="s">
        <v>21</v>
      </c>
      <c r="J8">
        <f>AVERAGE(K2:K6)</f>
        <v>2</v>
      </c>
    </row>
    <row r="9" spans="1:13" ht="15.75" customHeight="1">
      <c r="A9" s="8" t="s">
        <v>26</v>
      </c>
      <c r="B9">
        <f>SUM(E2:E6)</f>
        <v>0.10000000000000009</v>
      </c>
      <c r="I9" s="8" t="s">
        <v>26</v>
      </c>
      <c r="J9" s="9">
        <f>SUM(M2:M6)</f>
        <v>266</v>
      </c>
    </row>
    <row r="10" spans="1:13" ht="15.75" customHeight="1">
      <c r="A10" s="8" t="s">
        <v>31</v>
      </c>
      <c r="B10">
        <f>COUNTA(A2:A6)</f>
        <v>5</v>
      </c>
      <c r="I10" s="8" t="s">
        <v>31</v>
      </c>
      <c r="J10">
        <f>COUNTA(I2:I6)</f>
        <v>5</v>
      </c>
    </row>
    <row r="11" spans="1:13" ht="15.75" customHeight="1">
      <c r="A11" s="8" t="s">
        <v>27</v>
      </c>
      <c r="B11">
        <f>B9/B10</f>
        <v>2.0000000000000018E-2</v>
      </c>
      <c r="I11" s="8" t="s">
        <v>27</v>
      </c>
      <c r="J11">
        <f>J9/J10</f>
        <v>53.2</v>
      </c>
    </row>
    <row r="12" spans="1:13" ht="15.75" customHeight="1">
      <c r="A12" s="8" t="s">
        <v>28</v>
      </c>
      <c r="B12">
        <f>_xlfn.VAR.P(C2:C6)</f>
        <v>2.0000000000000018E-2</v>
      </c>
      <c r="I12" s="8" t="s">
        <v>28</v>
      </c>
      <c r="J12">
        <f>_xlfn.VAR.P((K2:K6))</f>
        <v>53.2</v>
      </c>
    </row>
    <row r="13" spans="1:13" ht="15.75" customHeight="1">
      <c r="A13" s="8" t="s">
        <v>29</v>
      </c>
      <c r="B13">
        <f>SQRT(B12)</f>
        <v>0.14142135623730956</v>
      </c>
      <c r="I13" s="8" t="s">
        <v>29</v>
      </c>
      <c r="J13">
        <f>SQRT(J12)</f>
        <v>7.2938330115241881</v>
      </c>
    </row>
    <row r="14" spans="1:13" ht="15.75" customHeight="1">
      <c r="A14" s="8" t="s">
        <v>32</v>
      </c>
      <c r="B14">
        <f>_xlfn.STDEV.P(C2:C6)</f>
        <v>0.14142135623730956</v>
      </c>
      <c r="I14" s="8" t="s">
        <v>32</v>
      </c>
      <c r="J14">
        <f>_xlfn.STDEV.P(K2:K6)</f>
        <v>7.2938330115241881</v>
      </c>
    </row>
    <row r="15" spans="1:13" ht="15.75" customHeight="1">
      <c r="A15" s="8" t="s">
        <v>22</v>
      </c>
      <c r="B15">
        <f>MEDIAN(C2:C6)</f>
        <v>2</v>
      </c>
      <c r="I15" s="8" t="s">
        <v>22</v>
      </c>
      <c r="J15">
        <f>MEDIAN(K2:K6)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3"/>
  <sheetViews>
    <sheetView zoomScale="115" zoomScaleNormal="115" workbookViewId="0">
      <selection activeCell="H24" sqref="H24"/>
    </sheetView>
  </sheetViews>
  <sheetFormatPr defaultColWidth="12.5703125" defaultRowHeight="15.75" customHeight="1"/>
  <cols>
    <col min="1" max="1" width="15.42578125" bestFit="1" customWidth="1"/>
    <col min="7" max="7" width="15.42578125" bestFit="1" customWidth="1"/>
  </cols>
  <sheetData>
    <row r="1" spans="1:10" ht="15.75" customHeight="1">
      <c r="A1" s="11" t="s">
        <v>4</v>
      </c>
      <c r="B1" s="12"/>
      <c r="G1" s="11" t="s">
        <v>7</v>
      </c>
      <c r="H1" s="12"/>
      <c r="I1" s="12"/>
    </row>
    <row r="2" spans="1:10" ht="15.75" customHeight="1">
      <c r="A2" s="3" t="s">
        <v>8</v>
      </c>
      <c r="B2" s="5" t="s">
        <v>9</v>
      </c>
      <c r="C2" s="7" t="s">
        <v>23</v>
      </c>
      <c r="D2" s="7" t="s">
        <v>24</v>
      </c>
      <c r="G2" s="3" t="s">
        <v>8</v>
      </c>
      <c r="H2" s="5" t="s">
        <v>9</v>
      </c>
      <c r="I2" s="7" t="s">
        <v>23</v>
      </c>
      <c r="J2" s="7" t="s">
        <v>24</v>
      </c>
    </row>
    <row r="3" spans="1:10" ht="14.25">
      <c r="A3" s="4">
        <v>1</v>
      </c>
      <c r="B3" s="4">
        <v>77</v>
      </c>
      <c r="C3">
        <f>B3-$B$16</f>
        <v>6.5</v>
      </c>
      <c r="D3">
        <f>C3*C3</f>
        <v>42.25</v>
      </c>
      <c r="G3" s="4">
        <v>1</v>
      </c>
      <c r="H3" s="4">
        <v>30</v>
      </c>
      <c r="I3" s="4">
        <f>H3-$H$16</f>
        <v>-39.799999999999997</v>
      </c>
      <c r="J3">
        <f>I3*I3</f>
        <v>1584.0399999999997</v>
      </c>
    </row>
    <row r="4" spans="1:10" ht="14.25">
      <c r="A4" s="4">
        <v>2</v>
      </c>
      <c r="B4" s="4">
        <v>75</v>
      </c>
      <c r="C4">
        <f t="shared" ref="C4:C12" si="0">B4-$B$16</f>
        <v>4.5</v>
      </c>
      <c r="D4">
        <f t="shared" ref="D4:D12" si="1">C4*C4</f>
        <v>20.25</v>
      </c>
      <c r="G4" s="4">
        <v>2</v>
      </c>
      <c r="H4" s="4">
        <v>99</v>
      </c>
      <c r="I4" s="4">
        <f t="shared" ref="I4:I12" si="2">H4-$H$16</f>
        <v>29.200000000000003</v>
      </c>
      <c r="J4">
        <f t="shared" ref="J4:J12" si="3">I4*I4</f>
        <v>852.64000000000021</v>
      </c>
    </row>
    <row r="5" spans="1:10" ht="14.25">
      <c r="A5" s="4">
        <v>3</v>
      </c>
      <c r="B5" s="4">
        <v>89</v>
      </c>
      <c r="C5">
        <f t="shared" si="0"/>
        <v>18.5</v>
      </c>
      <c r="D5">
        <f t="shared" si="1"/>
        <v>342.25</v>
      </c>
      <c r="G5" s="4">
        <v>3</v>
      </c>
      <c r="H5" s="4">
        <v>91</v>
      </c>
      <c r="I5" s="4">
        <f t="shared" si="2"/>
        <v>21.200000000000003</v>
      </c>
      <c r="J5">
        <f t="shared" si="3"/>
        <v>449.44000000000011</v>
      </c>
    </row>
    <row r="6" spans="1:10" ht="14.25">
      <c r="A6" s="4">
        <v>4</v>
      </c>
      <c r="B6" s="4">
        <v>64</v>
      </c>
      <c r="C6">
        <f t="shared" si="0"/>
        <v>-6.5</v>
      </c>
      <c r="D6">
        <f t="shared" si="1"/>
        <v>42.25</v>
      </c>
      <c r="G6" s="4">
        <v>4</v>
      </c>
      <c r="H6" s="4">
        <v>45</v>
      </c>
      <c r="I6" s="4">
        <f t="shared" si="2"/>
        <v>-24.799999999999997</v>
      </c>
      <c r="J6">
        <f t="shared" si="3"/>
        <v>615.03999999999985</v>
      </c>
    </row>
    <row r="7" spans="1:10" ht="14.25">
      <c r="A7" s="4">
        <v>5</v>
      </c>
      <c r="B7" s="4">
        <v>76</v>
      </c>
      <c r="C7">
        <f t="shared" si="0"/>
        <v>5.5</v>
      </c>
      <c r="D7">
        <f t="shared" si="1"/>
        <v>30.25</v>
      </c>
      <c r="G7" s="4">
        <v>5</v>
      </c>
      <c r="H7" s="4">
        <v>50</v>
      </c>
      <c r="I7" s="4">
        <f t="shared" si="2"/>
        <v>-19.799999999999997</v>
      </c>
      <c r="J7">
        <f t="shared" si="3"/>
        <v>392.03999999999991</v>
      </c>
    </row>
    <row r="8" spans="1:10" ht="14.25">
      <c r="A8" s="4">
        <v>6</v>
      </c>
      <c r="B8" s="4">
        <v>64</v>
      </c>
      <c r="C8">
        <f t="shared" si="0"/>
        <v>-6.5</v>
      </c>
      <c r="D8">
        <f t="shared" si="1"/>
        <v>42.25</v>
      </c>
      <c r="G8" s="4">
        <v>6</v>
      </c>
      <c r="H8" s="4">
        <v>98</v>
      </c>
      <c r="I8" s="4">
        <f t="shared" si="2"/>
        <v>28.200000000000003</v>
      </c>
      <c r="J8">
        <f t="shared" si="3"/>
        <v>795.24000000000012</v>
      </c>
    </row>
    <row r="9" spans="1:10" ht="14.25">
      <c r="A9" s="4">
        <v>7</v>
      </c>
      <c r="B9" s="4">
        <v>68</v>
      </c>
      <c r="C9">
        <f t="shared" si="0"/>
        <v>-2.5</v>
      </c>
      <c r="D9">
        <f t="shared" si="1"/>
        <v>6.25</v>
      </c>
      <c r="G9" s="4">
        <v>7</v>
      </c>
      <c r="H9" s="4">
        <v>30</v>
      </c>
      <c r="I9" s="4">
        <f t="shared" si="2"/>
        <v>-39.799999999999997</v>
      </c>
      <c r="J9">
        <f t="shared" si="3"/>
        <v>1584.0399999999997</v>
      </c>
    </row>
    <row r="10" spans="1:10" ht="14.25">
      <c r="A10" s="4">
        <v>8</v>
      </c>
      <c r="B10" s="4">
        <v>60</v>
      </c>
      <c r="C10">
        <f t="shared" si="0"/>
        <v>-10.5</v>
      </c>
      <c r="D10">
        <f t="shared" si="1"/>
        <v>110.25</v>
      </c>
      <c r="G10" s="4">
        <v>8</v>
      </c>
      <c r="H10" s="4">
        <v>65</v>
      </c>
      <c r="I10" s="4">
        <f t="shared" si="2"/>
        <v>-4.7999999999999972</v>
      </c>
      <c r="J10">
        <f t="shared" si="3"/>
        <v>23.039999999999974</v>
      </c>
    </row>
    <row r="11" spans="1:10" ht="14.25">
      <c r="A11" s="4">
        <v>9</v>
      </c>
      <c r="B11" s="4">
        <v>65</v>
      </c>
      <c r="C11">
        <f t="shared" si="0"/>
        <v>-5.5</v>
      </c>
      <c r="D11">
        <f t="shared" si="1"/>
        <v>30.25</v>
      </c>
      <c r="G11" s="4">
        <v>9</v>
      </c>
      <c r="H11" s="4">
        <v>95</v>
      </c>
      <c r="I11" s="4">
        <f t="shared" si="2"/>
        <v>25.200000000000003</v>
      </c>
      <c r="J11">
        <f t="shared" si="3"/>
        <v>635.04000000000019</v>
      </c>
    </row>
    <row r="12" spans="1:10" ht="14.25">
      <c r="A12" s="4">
        <v>10</v>
      </c>
      <c r="B12" s="4">
        <v>67</v>
      </c>
      <c r="C12">
        <f t="shared" si="0"/>
        <v>-3.5</v>
      </c>
      <c r="D12">
        <f t="shared" si="1"/>
        <v>12.25</v>
      </c>
      <c r="G12" s="4">
        <v>10</v>
      </c>
      <c r="H12" s="4">
        <v>95</v>
      </c>
      <c r="I12" s="4">
        <f t="shared" si="2"/>
        <v>25.200000000000003</v>
      </c>
      <c r="J12">
        <f t="shared" si="3"/>
        <v>635.04000000000019</v>
      </c>
    </row>
    <row r="16" spans="1:10" ht="15.75" customHeight="1">
      <c r="A16" s="7" t="s">
        <v>21</v>
      </c>
      <c r="B16">
        <f>AVERAGE(B3:B12)</f>
        <v>70.5</v>
      </c>
      <c r="G16" s="7" t="s">
        <v>21</v>
      </c>
      <c r="H16">
        <f>AVERAGE(H3:H12)</f>
        <v>69.8</v>
      </c>
    </row>
    <row r="17" spans="1:8" ht="15.75" customHeight="1">
      <c r="A17" s="7" t="s">
        <v>22</v>
      </c>
      <c r="B17">
        <f>MEDIAN(B3:B12)</f>
        <v>67.5</v>
      </c>
      <c r="G17" s="7" t="s">
        <v>22</v>
      </c>
      <c r="H17">
        <f>MEDIAN(H3:H12)</f>
        <v>78</v>
      </c>
    </row>
    <row r="18" spans="1:8" ht="15.75" customHeight="1">
      <c r="A18" s="7" t="s">
        <v>25</v>
      </c>
      <c r="B18">
        <f>COUNT(A3:A12)</f>
        <v>10</v>
      </c>
      <c r="G18" s="7" t="s">
        <v>25</v>
      </c>
      <c r="H18">
        <f>COUNT(G3:G12)</f>
        <v>10</v>
      </c>
    </row>
    <row r="19" spans="1:8" ht="15.75" customHeight="1">
      <c r="A19" s="7" t="s">
        <v>26</v>
      </c>
      <c r="B19">
        <f>SUM(D3:D12)</f>
        <v>678.5</v>
      </c>
      <c r="G19" s="7" t="s">
        <v>26</v>
      </c>
      <c r="H19">
        <f>SUM(J3:J12)</f>
        <v>7565.5999999999995</v>
      </c>
    </row>
    <row r="20" spans="1:8" ht="15.75" customHeight="1">
      <c r="A20" s="7" t="s">
        <v>27</v>
      </c>
      <c r="B20">
        <f>B19/B18</f>
        <v>67.849999999999994</v>
      </c>
      <c r="G20" s="7" t="s">
        <v>27</v>
      </c>
      <c r="H20">
        <f>H19/H18</f>
        <v>756.56</v>
      </c>
    </row>
    <row r="21" spans="1:8" ht="15.75" customHeight="1">
      <c r="A21" s="7" t="s">
        <v>28</v>
      </c>
      <c r="B21">
        <f>_xlfn.VAR.P((B3:B12))</f>
        <v>67.849999999999994</v>
      </c>
      <c r="G21" s="7" t="s">
        <v>28</v>
      </c>
      <c r="H21">
        <f>_xlfn.VAR.P(H3:H12)</f>
        <v>756.56</v>
      </c>
    </row>
    <row r="22" spans="1:8" ht="15.75" customHeight="1">
      <c r="A22" s="7" t="s">
        <v>29</v>
      </c>
      <c r="B22">
        <f>SQRT(B20)</f>
        <v>8.2371111440844356</v>
      </c>
      <c r="G22" s="7" t="s">
        <v>29</v>
      </c>
      <c r="H22">
        <f>SQRT(H21)</f>
        <v>27.505635786143898</v>
      </c>
    </row>
    <row r="23" spans="1:8" ht="15.75" customHeight="1">
      <c r="A23" s="7" t="s">
        <v>33</v>
      </c>
      <c r="B23">
        <f>_xlfn.STDEV.P((B3:B12))</f>
        <v>8.2371111440844356</v>
      </c>
      <c r="G23" s="7" t="s">
        <v>33</v>
      </c>
      <c r="H23">
        <f>_xlfn.STDEV.P((H3:H12))</f>
        <v>27.505635786143898</v>
      </c>
    </row>
  </sheetData>
  <mergeCells count="2">
    <mergeCell ref="A1:B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8"/>
  <sheetViews>
    <sheetView zoomScale="145" zoomScaleNormal="145" workbookViewId="0">
      <selection activeCell="H14" sqref="H14"/>
    </sheetView>
  </sheetViews>
  <sheetFormatPr defaultColWidth="12.5703125" defaultRowHeight="15.75" customHeight="1"/>
  <cols>
    <col min="1" max="1" width="19.5703125" customWidth="1"/>
  </cols>
  <sheetData>
    <row r="1" spans="1:12" ht="15.75" customHeight="1">
      <c r="A1" s="5" t="s">
        <v>5</v>
      </c>
      <c r="B1" s="5" t="s">
        <v>9</v>
      </c>
      <c r="J1" s="3" t="s">
        <v>8</v>
      </c>
      <c r="K1" s="5" t="s">
        <v>10</v>
      </c>
      <c r="L1" s="5" t="s">
        <v>11</v>
      </c>
    </row>
    <row r="2" spans="1:12" ht="14.25">
      <c r="A2" s="4">
        <v>2</v>
      </c>
      <c r="B2" s="4">
        <v>45</v>
      </c>
      <c r="J2" s="1" t="s">
        <v>12</v>
      </c>
      <c r="K2" s="4">
        <v>6</v>
      </c>
      <c r="L2" s="4">
        <v>72</v>
      </c>
    </row>
    <row r="3" spans="1:12" ht="14.25">
      <c r="A3" s="4">
        <v>3</v>
      </c>
      <c r="B3" s="4">
        <v>52</v>
      </c>
      <c r="J3" s="1" t="s">
        <v>13</v>
      </c>
      <c r="K3" s="4">
        <v>7</v>
      </c>
      <c r="L3" s="4">
        <v>30</v>
      </c>
    </row>
    <row r="4" spans="1:12" ht="14.25">
      <c r="A4" s="4">
        <v>4</v>
      </c>
      <c r="B4" s="4">
        <v>60</v>
      </c>
      <c r="J4" s="1" t="s">
        <v>14</v>
      </c>
      <c r="K4" s="4">
        <v>8</v>
      </c>
      <c r="L4" s="4">
        <v>10</v>
      </c>
    </row>
    <row r="5" spans="1:12" ht="14.25">
      <c r="A5" s="4">
        <v>5</v>
      </c>
      <c r="B5" s="4">
        <v>68</v>
      </c>
      <c r="J5" s="1" t="s">
        <v>15</v>
      </c>
      <c r="K5" s="4">
        <v>9</v>
      </c>
      <c r="L5" s="4">
        <v>63</v>
      </c>
    </row>
    <row r="6" spans="1:12" ht="14.25">
      <c r="A6" s="4">
        <v>6</v>
      </c>
      <c r="B6" s="4">
        <v>75</v>
      </c>
      <c r="J6" s="1" t="s">
        <v>16</v>
      </c>
      <c r="K6" s="4">
        <v>10</v>
      </c>
      <c r="L6" s="4">
        <v>10</v>
      </c>
    </row>
    <row r="7" spans="1:12" ht="14.25">
      <c r="J7" s="1" t="s">
        <v>17</v>
      </c>
      <c r="K7" s="4">
        <v>11</v>
      </c>
      <c r="L7" s="4">
        <v>80</v>
      </c>
    </row>
    <row r="8" spans="1:12" ht="14.25">
      <c r="A8" s="7" t="s">
        <v>34</v>
      </c>
      <c r="B8" s="10">
        <f>CORREL(A2:A6,B2:B6)</f>
        <v>0.99965391935284698</v>
      </c>
      <c r="J8" s="1" t="s">
        <v>18</v>
      </c>
      <c r="K8" s="4">
        <v>12</v>
      </c>
      <c r="L8" s="4">
        <v>76</v>
      </c>
    </row>
    <row r="10" spans="1:12" ht="15.75" customHeight="1">
      <c r="J10" s="7" t="s">
        <v>34</v>
      </c>
      <c r="K10" s="10">
        <f>CORREL(K2:K8,L2:L8)</f>
        <v>0.27750670269520378</v>
      </c>
    </row>
    <row r="11" spans="1:12" ht="15.75" customHeight="1">
      <c r="A11" s="6" t="s">
        <v>19</v>
      </c>
      <c r="B11" s="5" t="s">
        <v>20</v>
      </c>
    </row>
    <row r="12" spans="1:12" ht="14.25">
      <c r="A12" s="4">
        <v>1</v>
      </c>
      <c r="B12" s="4">
        <v>80</v>
      </c>
    </row>
    <row r="13" spans="1:12" ht="14.25">
      <c r="A13" s="4">
        <v>2</v>
      </c>
      <c r="B13" s="4">
        <v>77</v>
      </c>
    </row>
    <row r="14" spans="1:12" ht="14.25">
      <c r="A14" s="4">
        <v>3</v>
      </c>
      <c r="B14" s="4">
        <v>75</v>
      </c>
    </row>
    <row r="15" spans="1:12" ht="14.25">
      <c r="A15" s="4">
        <v>4</v>
      </c>
      <c r="B15" s="4">
        <v>72</v>
      </c>
    </row>
    <row r="16" spans="1:12" ht="14.25">
      <c r="A16" s="4">
        <v>5</v>
      </c>
      <c r="B16" s="4">
        <v>70</v>
      </c>
    </row>
    <row r="17" spans="1:2" ht="14.25">
      <c r="A17" s="1"/>
      <c r="B17" s="1"/>
    </row>
    <row r="18" spans="1:2" ht="15.75" customHeight="1">
      <c r="A18" s="7" t="s">
        <v>34</v>
      </c>
      <c r="B18" s="10">
        <f>CORREL(A12:A16,B12:B16)</f>
        <v>-0.99760860558452757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C22E-4095-456A-BB8B-01D27DA8E3C9}">
  <dimension ref="A1:F8"/>
  <sheetViews>
    <sheetView zoomScale="160" zoomScaleNormal="160" workbookViewId="0">
      <selection activeCell="C14" sqref="C14"/>
    </sheetView>
  </sheetViews>
  <sheetFormatPr defaultRowHeight="12.75"/>
  <cols>
    <col min="2" max="2" width="11.28515625" bestFit="1" customWidth="1"/>
    <col min="6" max="6" width="11.28515625" bestFit="1" customWidth="1"/>
  </cols>
  <sheetData>
    <row r="1" spans="1:6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</row>
    <row r="2" spans="1:6">
      <c r="A2" t="s">
        <v>41</v>
      </c>
      <c r="B2" t="s">
        <v>42</v>
      </c>
      <c r="C2" t="s">
        <v>38</v>
      </c>
      <c r="D2">
        <v>650000</v>
      </c>
      <c r="E2">
        <v>600000</v>
      </c>
      <c r="F2">
        <v>6</v>
      </c>
    </row>
    <row r="3" spans="1:6">
      <c r="A3" t="s">
        <v>43</v>
      </c>
      <c r="B3" t="s">
        <v>44</v>
      </c>
      <c r="C3" t="s">
        <v>38</v>
      </c>
      <c r="D3">
        <v>550000</v>
      </c>
      <c r="E3">
        <v>600000</v>
      </c>
      <c r="F3">
        <v>3</v>
      </c>
    </row>
    <row r="4" spans="1:6">
      <c r="A4" t="s">
        <v>45</v>
      </c>
      <c r="B4" t="s">
        <v>46</v>
      </c>
      <c r="C4" t="s">
        <v>47</v>
      </c>
      <c r="D4">
        <v>300000</v>
      </c>
      <c r="E4">
        <v>300000</v>
      </c>
      <c r="F4">
        <v>5</v>
      </c>
    </row>
    <row r="5" spans="1:6">
      <c r="A5" t="s">
        <v>48</v>
      </c>
      <c r="B5" t="s">
        <v>49</v>
      </c>
      <c r="C5" t="s">
        <v>38</v>
      </c>
      <c r="D5">
        <v>720000</v>
      </c>
      <c r="E5">
        <v>700000</v>
      </c>
      <c r="F5">
        <v>8</v>
      </c>
    </row>
    <row r="6" spans="1:6">
      <c r="A6" t="s">
        <v>50</v>
      </c>
      <c r="B6" t="s">
        <v>51</v>
      </c>
      <c r="C6" t="s">
        <v>52</v>
      </c>
      <c r="D6">
        <v>480000</v>
      </c>
      <c r="E6">
        <v>500000</v>
      </c>
      <c r="F6">
        <v>4</v>
      </c>
    </row>
    <row r="8" spans="1:6">
      <c r="B8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C7B7-F033-4AA8-9E50-23821989390E}">
  <dimension ref="A1:D6"/>
  <sheetViews>
    <sheetView zoomScale="205" zoomScaleNormal="205" workbookViewId="0">
      <selection activeCell="D14" sqref="D14"/>
    </sheetView>
  </sheetViews>
  <sheetFormatPr defaultRowHeight="12.75"/>
  <cols>
    <col min="1" max="1" width="10.5703125" bestFit="1" customWidth="1"/>
    <col min="3" max="3" width="10.28515625" bestFit="1" customWidth="1"/>
  </cols>
  <sheetData>
    <row r="1" spans="1:4">
      <c r="A1" s="13" t="s">
        <v>53</v>
      </c>
      <c r="B1" s="13" t="s">
        <v>54</v>
      </c>
      <c r="C1" s="13" t="s">
        <v>55</v>
      </c>
      <c r="D1" s="13" t="s">
        <v>0</v>
      </c>
    </row>
    <row r="2" spans="1:4">
      <c r="A2" s="14" t="s">
        <v>56</v>
      </c>
      <c r="B2" s="14" t="s">
        <v>57</v>
      </c>
      <c r="C2" s="14" t="s">
        <v>58</v>
      </c>
      <c r="D2" s="14">
        <v>50</v>
      </c>
    </row>
    <row r="3" spans="1:4">
      <c r="A3" s="14" t="s">
        <v>59</v>
      </c>
      <c r="B3" s="14" t="s">
        <v>60</v>
      </c>
      <c r="C3" s="14" t="s">
        <v>61</v>
      </c>
      <c r="D3" s="14">
        <v>12</v>
      </c>
    </row>
    <row r="4" spans="1:4">
      <c r="A4" s="14" t="s">
        <v>62</v>
      </c>
      <c r="B4" s="14" t="s">
        <v>63</v>
      </c>
      <c r="C4" s="14" t="s">
        <v>58</v>
      </c>
      <c r="D4" s="14">
        <v>18</v>
      </c>
    </row>
    <row r="5" spans="1:4">
      <c r="A5" s="14" t="s">
        <v>64</v>
      </c>
      <c r="B5" s="14" t="s">
        <v>65</v>
      </c>
      <c r="C5" s="14" t="s">
        <v>61</v>
      </c>
      <c r="D5" s="14">
        <v>10</v>
      </c>
    </row>
    <row r="6" spans="1:4">
      <c r="A6" s="14" t="s">
        <v>66</v>
      </c>
      <c r="B6" s="14" t="s">
        <v>67</v>
      </c>
      <c r="C6" s="14" t="s">
        <v>61</v>
      </c>
      <c r="D6" s="14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58E9-216D-4D10-9C92-C353E7499221}">
  <dimension ref="A1:H14"/>
  <sheetViews>
    <sheetView tabSelected="1" zoomScale="120" zoomScaleNormal="120" workbookViewId="0">
      <selection activeCell="L9" sqref="L9"/>
    </sheetView>
  </sheetViews>
  <sheetFormatPr defaultRowHeight="12.75"/>
  <cols>
    <col min="2" max="2" width="16.7109375" bestFit="1" customWidth="1"/>
    <col min="4" max="4" width="11.7109375" bestFit="1" customWidth="1"/>
    <col min="5" max="5" width="11.85546875" bestFit="1" customWidth="1"/>
    <col min="6" max="6" width="7.42578125" bestFit="1" customWidth="1"/>
    <col min="7" max="7" width="12.85546875" bestFit="1" customWidth="1"/>
    <col min="8" max="8" width="17" bestFit="1" customWidth="1"/>
  </cols>
  <sheetData>
    <row r="1" spans="1:8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>
      <c r="A2">
        <v>3004</v>
      </c>
      <c r="B2" t="s">
        <v>12</v>
      </c>
      <c r="C2" t="s">
        <v>76</v>
      </c>
      <c r="D2">
        <v>1999</v>
      </c>
      <c r="E2">
        <v>36383</v>
      </c>
      <c r="F2" t="s">
        <v>77</v>
      </c>
      <c r="G2">
        <v>811042.49</v>
      </c>
      <c r="H2">
        <v>1538429.64</v>
      </c>
    </row>
    <row r="3" spans="1:8">
      <c r="A3">
        <v>1439</v>
      </c>
      <c r="B3" t="s">
        <v>78</v>
      </c>
      <c r="C3" t="s">
        <v>79</v>
      </c>
      <c r="D3">
        <v>1976</v>
      </c>
      <c r="E3">
        <v>28067</v>
      </c>
      <c r="F3" t="s">
        <v>77</v>
      </c>
      <c r="G3">
        <v>19064627.399999999</v>
      </c>
      <c r="H3">
        <v>29668827.25</v>
      </c>
    </row>
    <row r="4" spans="1:8">
      <c r="A4">
        <v>6885</v>
      </c>
      <c r="B4" t="s">
        <v>80</v>
      </c>
      <c r="C4" t="s">
        <v>81</v>
      </c>
      <c r="D4">
        <v>1990</v>
      </c>
      <c r="E4">
        <v>33161</v>
      </c>
      <c r="F4" t="s">
        <v>77</v>
      </c>
      <c r="G4">
        <v>2857920.4</v>
      </c>
      <c r="H4">
        <v>3490470.55</v>
      </c>
    </row>
    <row r="5" spans="1:8">
      <c r="A5">
        <v>1181</v>
      </c>
      <c r="B5" t="s">
        <v>82</v>
      </c>
      <c r="C5" t="s">
        <v>83</v>
      </c>
      <c r="D5">
        <v>1984</v>
      </c>
      <c r="E5">
        <v>30703</v>
      </c>
      <c r="F5" t="s">
        <v>77</v>
      </c>
      <c r="G5">
        <v>19775873.899999999</v>
      </c>
      <c r="H5">
        <v>58034856.829999998</v>
      </c>
    </row>
    <row r="6" spans="1:8">
      <c r="A6">
        <v>6679</v>
      </c>
      <c r="B6" t="s">
        <v>84</v>
      </c>
      <c r="C6" t="s">
        <v>83</v>
      </c>
      <c r="D6">
        <v>1983</v>
      </c>
      <c r="E6">
        <v>30384</v>
      </c>
      <c r="F6" t="s">
        <v>85</v>
      </c>
      <c r="G6">
        <v>4256151.45</v>
      </c>
      <c r="H6">
        <v>11539451</v>
      </c>
    </row>
    <row r="7" spans="1:8">
      <c r="A7">
        <v>2620</v>
      </c>
      <c r="B7" t="s">
        <v>86</v>
      </c>
      <c r="C7" t="s">
        <v>81</v>
      </c>
      <c r="D7">
        <v>2023</v>
      </c>
      <c r="E7">
        <v>44935</v>
      </c>
      <c r="F7" t="s">
        <v>85</v>
      </c>
      <c r="G7">
        <v>12772485.210000001</v>
      </c>
      <c r="H7">
        <v>18229852.289999999</v>
      </c>
    </row>
    <row r="8" spans="1:8">
      <c r="A8">
        <v>9119</v>
      </c>
      <c r="B8" t="s">
        <v>87</v>
      </c>
      <c r="C8" t="s">
        <v>81</v>
      </c>
      <c r="D8">
        <v>2017</v>
      </c>
      <c r="E8">
        <v>42865</v>
      </c>
      <c r="F8" t="s">
        <v>77</v>
      </c>
      <c r="G8">
        <v>2588310.0299999998</v>
      </c>
      <c r="H8">
        <v>5333555.87</v>
      </c>
    </row>
    <row r="9" spans="1:8">
      <c r="A9">
        <v>2130</v>
      </c>
      <c r="B9" t="s">
        <v>88</v>
      </c>
      <c r="C9" t="s">
        <v>76</v>
      </c>
      <c r="D9">
        <v>2012</v>
      </c>
      <c r="E9">
        <v>40932</v>
      </c>
      <c r="F9" t="s">
        <v>77</v>
      </c>
      <c r="G9">
        <v>4416464.05</v>
      </c>
      <c r="H9">
        <v>6379739.7999999998</v>
      </c>
    </row>
    <row r="10" spans="1:8">
      <c r="A10">
        <v>7702</v>
      </c>
      <c r="B10" t="s">
        <v>89</v>
      </c>
      <c r="C10" t="s">
        <v>83</v>
      </c>
      <c r="D10">
        <v>1964</v>
      </c>
      <c r="E10">
        <v>23430</v>
      </c>
      <c r="F10" t="s">
        <v>77</v>
      </c>
      <c r="G10">
        <v>1984243.7</v>
      </c>
      <c r="H10">
        <v>5213993.25</v>
      </c>
    </row>
    <row r="11" spans="1:8">
      <c r="A11">
        <v>5001</v>
      </c>
      <c r="B11" t="s">
        <v>90</v>
      </c>
      <c r="C11" t="s">
        <v>76</v>
      </c>
      <c r="D11">
        <v>1974</v>
      </c>
      <c r="E11">
        <v>27220</v>
      </c>
      <c r="F11" t="s">
        <v>77</v>
      </c>
      <c r="G11">
        <v>1106466.43</v>
      </c>
      <c r="H11">
        <v>2238694.13</v>
      </c>
    </row>
    <row r="12" spans="1:8">
      <c r="A12">
        <v>7209</v>
      </c>
      <c r="B12" t="s">
        <v>91</v>
      </c>
      <c r="C12" t="s">
        <v>92</v>
      </c>
      <c r="D12">
        <v>1977</v>
      </c>
      <c r="E12">
        <v>28363</v>
      </c>
      <c r="F12" t="s">
        <v>77</v>
      </c>
      <c r="G12">
        <v>10141711.59</v>
      </c>
      <c r="H12">
        <v>16012715.92</v>
      </c>
    </row>
    <row r="13" spans="1:8">
      <c r="A13">
        <v>1912</v>
      </c>
      <c r="B13" t="s">
        <v>93</v>
      </c>
      <c r="C13" t="s">
        <v>76</v>
      </c>
      <c r="D13">
        <v>1982</v>
      </c>
      <c r="E13">
        <v>30185</v>
      </c>
      <c r="F13" t="s">
        <v>77</v>
      </c>
      <c r="G13">
        <v>6548250.0999999996</v>
      </c>
      <c r="H13">
        <v>7087966.2699999996</v>
      </c>
    </row>
    <row r="14" spans="1:8">
      <c r="A14">
        <v>10250</v>
      </c>
      <c r="B14" t="s">
        <v>94</v>
      </c>
      <c r="C14" t="s">
        <v>95</v>
      </c>
      <c r="D14">
        <v>2015</v>
      </c>
      <c r="E14">
        <v>42230</v>
      </c>
      <c r="F14" t="s">
        <v>77</v>
      </c>
      <c r="G14">
        <v>4927817.0999999996</v>
      </c>
      <c r="H14">
        <v>7541908.0099999998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</vt:lpstr>
      <vt:lpstr>school</vt:lpstr>
      <vt:lpstr>correlation</vt:lpstr>
      <vt:lpstr>Bar Chart</vt:lpstr>
      <vt:lpstr>Pie Chart</vt:lpstr>
      <vt:lpstr>Line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bitkhanan</dc:creator>
  <cp:lastModifiedBy>bitkhanan</cp:lastModifiedBy>
  <dcterms:created xsi:type="dcterms:W3CDTF">2026-08-10T16:57:27Z</dcterms:created>
  <dcterms:modified xsi:type="dcterms:W3CDTF">2026-08-11T16:17:00Z</dcterms:modified>
</cp:coreProperties>
</file>