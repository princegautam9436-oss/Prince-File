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8_{F63D3977-479F-4C96-93A6-1035327AD1C5}" xr6:coauthVersionLast="47" xr6:coauthVersionMax="47" xr10:uidLastSave="{00000000-0000-0000-0000-000000000000}"/>
  <bookViews>
    <workbookView xWindow="-120" yWindow="-120" windowWidth="25440" windowHeight="15390" xr2:uid="{5B907934-7FB7-4BA1-A0EF-4D7133F349DD}"/>
  </bookViews>
  <sheets>
    <sheet name="Test 1 ,0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 a="1"/>
  <c r="A18" i="1"/>
  <c r="A15" i="1"/>
  <c r="J3" i="1"/>
  <c r="J4" i="1"/>
  <c r="J5" i="1"/>
  <c r="J6" i="1"/>
  <c r="J2" i="1"/>
  <c r="I3" i="1"/>
  <c r="I4" i="1"/>
  <c r="I5" i="1"/>
  <c r="I6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<sst xmlns="http://schemas.openxmlformats.org/spreadsheetml/2006/main" count="41" uniqueCount="30">
  <si>
    <t>Emp ID</t>
  </si>
  <si>
    <t>Name</t>
  </si>
  <si>
    <t>Department</t>
  </si>
  <si>
    <t>Sales</t>
  </si>
  <si>
    <t>Target</t>
  </si>
  <si>
    <t>Experience</t>
  </si>
  <si>
    <t>Status</t>
  </si>
  <si>
    <t>E101</t>
  </si>
  <si>
    <t>Amit</t>
  </si>
  <si>
    <t>Active</t>
  </si>
  <si>
    <t>E102</t>
  </si>
  <si>
    <t>Neha</t>
  </si>
  <si>
    <t>E103</t>
  </si>
  <si>
    <t>Raj</t>
  </si>
  <si>
    <t>HR</t>
  </si>
  <si>
    <t>Inactive</t>
  </si>
  <si>
    <t>E104</t>
  </si>
  <si>
    <t>Priya</t>
  </si>
  <si>
    <t>E105</t>
  </si>
  <si>
    <t>Karan</t>
  </si>
  <si>
    <t>IT</t>
  </si>
  <si>
    <t>Display "Eligible" if an employee has achieved the target; otherwise display "Not Eligible".</t>
  </si>
  <si>
    <t>Display "Bonus Approved" only if the employee has achieved the target, has at least 5 years of experience, and is currently active.</t>
  </si>
  <si>
    <t>Find the total sales generated by active employees only.</t>
  </si>
  <si>
    <t>Count the number of employees working in the Sales department.</t>
  </si>
  <si>
    <t>Retrieve the target assigned to Employee ID E104.</t>
  </si>
  <si>
    <t xml:space="preserve"> </t>
  </si>
  <si>
    <t>Eligible/Not eligible</t>
  </si>
  <si>
    <t>Approve/Not Approved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</si>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</sst>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3" fillId="2" borderId="0" xfId="1" applyFont="1" applyFill="1"/>
    <xf numFmtId="0" fontId="2" fillId="2" borderId="0" xfId="1" applyFont="1" applyFill="1" applyAlignment="1">
      <alignment horizontal="center"/>
    </xf>
    <xf numFmtId="0" fontId="4" fillId="2" borderId="0" xfId="1" applyFont="1" applyFill="1"/>
    <xf numFmtId="0" fontId="0" fillId="2" borderId="0" xfId="0" applyFill="1"/>
  </cellXfs>
  <cellStyles count="2">
    <cellStyle name="Normal" xfId="0" builtinId="0"/>
    <cellStyle name="Normal 2" xfId="1" xr:uid="{9A89B13C-4A7F-422E-843E-1161A659D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B9DE-6DC4-410E-9E9E-FA99E7712376}">
  <dimension ref="A1:J32"/>
  <sheetViews>
    <sheetView tabSelected="1" zoomScale="150" zoomScaleNormal="150" workbookViewId="0">
      <selection activeCell="I20" sqref="I20"/>
    </sheetView>
  </sheetViews>
  <sheetFormatPr defaultRowHeight="15" x14ac:dyDescent="0.25"/>
  <cols>
    <col min="4" max="4" width="10.140625" bestFit="1" customWidth="1"/>
    <col min="9" max="9" width="16.5703125" bestFit="1" customWidth="1"/>
    <col min="10" max="10" width="19.140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5" t="s">
        <v>27</v>
      </c>
      <c r="J1" s="5" t="s">
        <v>28</v>
      </c>
    </row>
    <row r="2" spans="1:10" x14ac:dyDescent="0.25">
      <c r="A2" s="3" t="s">
        <v>7</v>
      </c>
      <c r="B2" s="3" t="s">
        <v>8</v>
      </c>
      <c r="C2" s="3" t="s">
        <v>3</v>
      </c>
      <c r="D2" s="3">
        <v>650000</v>
      </c>
      <c r="E2" s="3">
        <v>600000</v>
      </c>
      <c r="F2" s="3">
        <v>6</v>
      </c>
      <c r="G2" s="3" t="s">
        <v>9</v>
      </c>
      <c r="I2" t="str">
        <f>IF(D2&gt;E2,"Eligible","Not Eligible")</f>
        <v>Eligible</v>
      </c>
      <c r="J2" t="str">
        <f>IF(AND(D2&gt;E2,F2&gt;5,G2="Active"),"Bonus","No Bonus")</f>
        <v>Bonus</v>
      </c>
    </row>
    <row r="3" spans="1:10" x14ac:dyDescent="0.25">
      <c r="A3" s="3" t="s">
        <v>10</v>
      </c>
      <c r="B3" s="3" t="s">
        <v>11</v>
      </c>
      <c r="C3" s="3" t="s">
        <v>3</v>
      </c>
      <c r="D3" s="3">
        <v>550000</v>
      </c>
      <c r="E3" s="3">
        <v>600000</v>
      </c>
      <c r="F3" s="3">
        <v>3</v>
      </c>
      <c r="G3" s="3" t="s">
        <v>9</v>
      </c>
      <c r="I3" t="str">
        <f t="shared" ref="I3:I6" si="0">IF(D3&gt;E3,"Eligible","Not Eligible")</f>
        <v>Not Eligible</v>
      </c>
      <c r="J3" t="str">
        <f t="shared" ref="J3:J6" si="1">IF(AND(D3&gt;E3,F3&gt;5,G3="Active"),"Bonus","No Bonus")</f>
        <v>No Bonus</v>
      </c>
    </row>
    <row r="4" spans="1:10" x14ac:dyDescent="0.25">
      <c r="A4" s="3" t="s">
        <v>12</v>
      </c>
      <c r="B4" s="3" t="s">
        <v>13</v>
      </c>
      <c r="C4" s="3" t="s">
        <v>14</v>
      </c>
      <c r="D4" s="3">
        <v>300000</v>
      </c>
      <c r="E4" s="3">
        <v>300000</v>
      </c>
      <c r="F4" s="3">
        <v>5</v>
      </c>
      <c r="G4" s="3" t="s">
        <v>15</v>
      </c>
      <c r="I4" t="str">
        <f t="shared" si="0"/>
        <v>Not Eligible</v>
      </c>
      <c r="J4" t="str">
        <f t="shared" si="1"/>
        <v>No Bonus</v>
      </c>
    </row>
    <row r="5" spans="1:10" x14ac:dyDescent="0.25">
      <c r="A5" s="3" t="s">
        <v>16</v>
      </c>
      <c r="B5" s="3" t="s">
        <v>17</v>
      </c>
      <c r="C5" s="3" t="s">
        <v>3</v>
      </c>
      <c r="D5" s="3">
        <v>720000</v>
      </c>
      <c r="E5" s="3">
        <v>700000</v>
      </c>
      <c r="F5" s="3">
        <v>8</v>
      </c>
      <c r="G5" s="3" t="s">
        <v>9</v>
      </c>
      <c r="I5" t="str">
        <f t="shared" si="0"/>
        <v>Eligible</v>
      </c>
      <c r="J5" t="str">
        <f t="shared" si="1"/>
        <v>Bonus</v>
      </c>
    </row>
    <row r="6" spans="1:10" x14ac:dyDescent="0.25">
      <c r="A6" s="3" t="s">
        <v>18</v>
      </c>
      <c r="B6" s="3" t="s">
        <v>19</v>
      </c>
      <c r="C6" s="3" t="s">
        <v>20</v>
      </c>
      <c r="D6" s="3">
        <v>480000</v>
      </c>
      <c r="E6" s="3">
        <v>500000</v>
      </c>
      <c r="F6" s="3">
        <v>4</v>
      </c>
      <c r="G6" s="3" t="s">
        <v>9</v>
      </c>
      <c r="I6" t="str">
        <f t="shared" si="0"/>
        <v>Not Eligible</v>
      </c>
      <c r="J6" t="str">
        <f t="shared" si="1"/>
        <v>No Bonus</v>
      </c>
    </row>
    <row r="10" spans="1:10" x14ac:dyDescent="0.25">
      <c r="A10" s="3" t="s">
        <v>21</v>
      </c>
      <c r="B10" s="1"/>
      <c r="C10" s="1"/>
      <c r="D10" s="1"/>
      <c r="E10" s="1"/>
      <c r="F10" s="1"/>
      <c r="G10" s="1"/>
    </row>
    <row r="11" spans="1:10" x14ac:dyDescent="0.25">
      <c r="A11" s="3"/>
      <c r="B11" s="1"/>
      <c r="C11" s="1"/>
      <c r="D11" s="1"/>
      <c r="E11" s="1"/>
      <c r="F11" s="1"/>
      <c r="G11" s="1"/>
    </row>
    <row r="12" spans="1:10" x14ac:dyDescent="0.25">
      <c r="A12" s="3" t="s">
        <v>22</v>
      </c>
      <c r="B12" s="1"/>
      <c r="C12" s="1"/>
      <c r="D12" s="1"/>
      <c r="E12" s="1"/>
      <c r="F12" s="1"/>
      <c r="G12" s="1"/>
    </row>
    <row r="13" spans="1:10" x14ac:dyDescent="0.25">
      <c r="A13" s="3"/>
      <c r="B13" s="1"/>
      <c r="C13" s="1"/>
      <c r="D13" s="1"/>
      <c r="E13" s="1"/>
      <c r="F13" s="1"/>
      <c r="G13" s="1"/>
    </row>
    <row r="14" spans="1:10" x14ac:dyDescent="0.25">
      <c r="A14" s="3" t="s">
        <v>23</v>
      </c>
      <c r="B14" s="1"/>
      <c r="C14" s="1"/>
      <c r="D14" s="1"/>
      <c r="E14" s="1"/>
      <c r="F14" s="1"/>
      <c r="G14" s="1"/>
    </row>
    <row r="15" spans="1:10" x14ac:dyDescent="0.25">
      <c r="A15" s="4">
        <f>SUMIFS(D2:D6,G2:G6,"Active")</f>
        <v>2400000</v>
      </c>
      <c r="B15" s="1"/>
      <c r="C15" s="1"/>
      <c r="D15" s="1"/>
      <c r="E15" s="1"/>
      <c r="F15" s="1"/>
      <c r="G15" s="1"/>
    </row>
    <row r="16" spans="1:10" x14ac:dyDescent="0.25">
      <c r="A16" s="3"/>
      <c r="B16" s="1"/>
      <c r="C16" s="1"/>
      <c r="D16" s="1"/>
      <c r="E16" s="1"/>
      <c r="F16" s="1"/>
      <c r="G16" s="1"/>
    </row>
    <row r="17" spans="1:7" x14ac:dyDescent="0.25">
      <c r="A17" s="3" t="s">
        <v>24</v>
      </c>
      <c r="B17" s="1"/>
      <c r="C17" s="1"/>
      <c r="D17" s="1"/>
      <c r="E17" s="1"/>
      <c r="F17" s="1"/>
      <c r="G17" s="1"/>
    </row>
    <row r="18" spans="1:7" x14ac:dyDescent="0.25">
      <c r="A18" s="4">
        <f>COUNTIF(C2:C6,"Sales")</f>
        <v>3</v>
      </c>
      <c r="B18" s="1"/>
      <c r="C18" s="1"/>
      <c r="D18" s="1"/>
      <c r="E18" s="1"/>
      <c r="F18" s="1"/>
      <c r="G18" s="1"/>
    </row>
    <row r="19" spans="1:7" x14ac:dyDescent="0.25">
      <c r="A19" s="3"/>
      <c r="B19" s="1"/>
      <c r="C19" s="1"/>
      <c r="D19" s="1"/>
      <c r="E19" s="1"/>
      <c r="F19" s="1"/>
      <c r="G19" s="1"/>
    </row>
    <row r="20" spans="1:7" x14ac:dyDescent="0.25">
      <c r="A20" s="3" t="s">
        <v>25</v>
      </c>
      <c r="B20" s="1"/>
      <c r="C20" s="1"/>
      <c r="D20" s="1"/>
      <c r="E20" s="1"/>
      <c r="F20" s="1"/>
      <c r="G20" s="1"/>
    </row>
    <row r="21" spans="1:7" x14ac:dyDescent="0.25">
      <c r="A21" s="4"/>
      <c r="B21" s="6" t="s">
        <v>29</v>
      </c>
      <c r="C21" s="6" t="s">
        <v>1</v>
      </c>
      <c r="D21" s="6" t="s">
        <v>2</v>
      </c>
      <c r="E21" s="6" t="s">
        <v>3</v>
      </c>
      <c r="F21" s="6" t="s">
        <v>4</v>
      </c>
      <c r="G21" s="1"/>
    </row>
    <row r="22" spans="1:7" x14ac:dyDescent="0.25">
      <c r="A22" s="7" t="s">
        <v>12</v>
      </c>
      <c r="B22" s="7" t="str" cm="1">
        <f t="array" ref="B22:F22">_xlfn.XLOOKUP(A22,A2:A6,A2:E6)</f>
        <v>E103</v>
      </c>
      <c r="C22" s="7" t="str">
        <v>Raj</v>
      </c>
      <c r="D22" s="7" t="str">
        <v>HR</v>
      </c>
      <c r="E22" s="7">
        <v>300000</v>
      </c>
      <c r="F22" s="7">
        <v>300000</v>
      </c>
    </row>
    <row r="32" spans="1:7" x14ac:dyDescent="0.25">
      <c r="G32" t="s">
        <v>26</v>
      </c>
    </row>
  </sheetData>
  <dataValidations count="1">
    <dataValidation type="list" allowBlank="1" showInputMessage="1" showErrorMessage="1" sqref="A22" xr:uid="{12AB189C-5781-4543-BB37-DF28A2B52551}">
      <formula1>$A$2:$A$6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 ,08-08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2026-08-08T17:11:50Z</dcterms:created>
  <dcterms:modified xsi:type="dcterms:W3CDTF">2026-08-08T17:41:47Z</dcterms:modified>
</cp:coreProperties>
</file>