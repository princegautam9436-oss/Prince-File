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ince\Excel\"/>
    </mc:Choice>
  </mc:AlternateContent>
  <xr:revisionPtr revIDLastSave="0" documentId="8_{192BAC03-5581-4839-93DD-A3162085979E}" xr6:coauthVersionLast="47" xr6:coauthVersionMax="47" xr10:uidLastSave="{00000000-0000-0000-0000-000000000000}"/>
  <bookViews>
    <workbookView xWindow="-120" yWindow="-120" windowWidth="25440" windowHeight="15390" activeTab="4" xr2:uid="{00000000-000D-0000-FFFF-FFFF00000000}"/>
  </bookViews>
  <sheets>
    <sheet name="1 Emp" sheetId="1" r:id="rId1"/>
    <sheet name="2 Student" sheetId="2" r:id="rId2"/>
    <sheet name="3 Order" sheetId="3" r:id="rId3"/>
    <sheet name="4 Inventory" sheetId="4" r:id="rId4"/>
    <sheet name="5 H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3" l="1" a="1"/>
  <c r="I2" i="2"/>
  <c r="B19" i="3"/>
  <c r="A18" i="5"/>
  <c r="A12" i="3"/>
  <c r="B22" i="5" a="1"/>
  <c r="A14" i="5"/>
  <c r="I3" i="5"/>
  <c r="I4" i="5"/>
  <c r="I5" i="5"/>
  <c r="I6" i="5"/>
  <c r="I2" i="5"/>
  <c r="H3" i="5"/>
  <c r="H4" i="5"/>
  <c r="H5" i="5"/>
  <c r="H6" i="5"/>
  <c r="H2" i="5"/>
  <c r="B13" i="4" a="1"/>
  <c r="B23" i="4" a="1"/>
  <c r="B26" i="4"/>
  <c r="H3" i="4"/>
  <c r="H4" i="4"/>
  <c r="H5" i="4"/>
  <c r="H6" i="4"/>
  <c r="H2" i="4"/>
  <c r="H3" i="3" a="1"/>
  <c r="B19" i="2" a="1"/>
  <c r="A16" i="2"/>
  <c r="J3" i="2"/>
  <c r="J4" i="2"/>
  <c r="J5" i="2"/>
  <c r="J6" i="2"/>
  <c r="J2" i="2"/>
  <c r="H3" i="2"/>
  <c r="I3" i="2" s="1"/>
  <c r="H4" i="2"/>
  <c r="I4" i="2" s="1"/>
  <c r="H5" i="2"/>
  <c r="I5" i="2" s="1"/>
  <c r="H6" i="2"/>
  <c r="I6" i="2" s="1"/>
  <c r="H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<sst xmlns="http://schemas.openxmlformats.org/spreadsheetml/2006/main" count="165" uniqueCount="103">
  <si>
    <t>Roll No</t>
  </si>
  <si>
    <t>Product ID</t>
  </si>
  <si>
    <t>Order ID</t>
  </si>
  <si>
    <t>Emp ID</t>
  </si>
  <si>
    <t>Name</t>
  </si>
  <si>
    <t>Customer</t>
  </si>
  <si>
    <t>Product</t>
  </si>
  <si>
    <t>Course</t>
  </si>
  <si>
    <t>Category</t>
  </si>
  <si>
    <t>Department</t>
  </si>
  <si>
    <t>Maths</t>
  </si>
  <si>
    <t>Qty</t>
  </si>
  <si>
    <t>Science</t>
  </si>
  <si>
    <t>Sales</t>
  </si>
  <si>
    <t>Stock</t>
  </si>
  <si>
    <t>Price</t>
  </si>
  <si>
    <t>English</t>
  </si>
  <si>
    <t>Target</t>
  </si>
  <si>
    <t>Reorder Level</t>
  </si>
  <si>
    <t>Status</t>
  </si>
  <si>
    <t>Supplier</t>
  </si>
  <si>
    <t>Experience</t>
  </si>
  <si>
    <t>O101</t>
  </si>
  <si>
    <t>Amit</t>
  </si>
  <si>
    <t>P101</t>
  </si>
  <si>
    <t>BCA</t>
  </si>
  <si>
    <t>E101</t>
  </si>
  <si>
    <t>Mouse</t>
  </si>
  <si>
    <t>Laptop</t>
  </si>
  <si>
    <t>Accessory</t>
  </si>
  <si>
    <t>Raj</t>
  </si>
  <si>
    <t>Delivered</t>
  </si>
  <si>
    <t>ABC</t>
  </si>
  <si>
    <t>O102</t>
  </si>
  <si>
    <t>P102</t>
  </si>
  <si>
    <t>Active</t>
  </si>
  <si>
    <t>Mobile</t>
  </si>
  <si>
    <t>E102</t>
  </si>
  <si>
    <t>Neha</t>
  </si>
  <si>
    <t>Electronics</t>
  </si>
  <si>
    <t>B.Com</t>
  </si>
  <si>
    <t>Pending</t>
  </si>
  <si>
    <t>O103</t>
  </si>
  <si>
    <t>XYZ</t>
  </si>
  <si>
    <t>P103</t>
  </si>
  <si>
    <t>Keyboard</t>
  </si>
  <si>
    <t>E103</t>
  </si>
  <si>
    <t>HR</t>
  </si>
  <si>
    <t>O104</t>
  </si>
  <si>
    <t>Karan</t>
  </si>
  <si>
    <t>Tablet</t>
  </si>
  <si>
    <t>Inactive</t>
  </si>
  <si>
    <t>E104</t>
  </si>
  <si>
    <t>Cancelled</t>
  </si>
  <si>
    <t>Priya</t>
  </si>
  <si>
    <t>P104</t>
  </si>
  <si>
    <t>O105</t>
  </si>
  <si>
    <t>Monitor</t>
  </si>
  <si>
    <t>E105</t>
  </si>
  <si>
    <t>P105</t>
  </si>
  <si>
    <t>Printer</t>
  </si>
  <si>
    <t>IT</t>
  </si>
  <si>
    <t>Calculate the total amount of each order.</t>
  </si>
  <si>
    <t>Display "Eligible" if an employee has achieved the target; otherwise display "Not Eligible".</t>
  </si>
  <si>
    <t>Find the number of orders that have been delivered.</t>
  </si>
  <si>
    <t>Display Reorder Required if the available stock is less than or equal to the reorder level; otherwise display Sufficient Stock.</t>
  </si>
  <si>
    <t>Calculate the total sales amount of delivered orders only.</t>
  </si>
  <si>
    <t>Count the number of products in the Electronics category.</t>
  </si>
  <si>
    <t>Display "Bonus Approved" only if the employee has achieved the target, has at least 5 years of experience, and is currently active.</t>
  </si>
  <si>
    <t>Retrieve the price of Order ID O105.</t>
  </si>
  <si>
    <t>Find the total sales generated by active employees only.</t>
  </si>
  <si>
    <t>Count the number of Electronics products that require reordering.</t>
  </si>
  <si>
    <t>Display High Value Order if the order amount exceeds ₹50,000; otherwise display Normal Order.</t>
  </si>
  <si>
    <t>Count the number of employees working in the Sales department.</t>
  </si>
  <si>
    <t>Retrieve the supplier name for Product ID P104.</t>
  </si>
  <si>
    <t>Find the position of the product Printer in the product list.</t>
  </si>
  <si>
    <t>Retrieve the target assigned to Employee ID E104.</t>
  </si>
  <si>
    <t>Calculate the total marks obtained by each student.</t>
  </si>
  <si>
    <t>Calculate the percentage of each student.</t>
  </si>
  <si>
    <t>Display Pass only if a student has passed in all subjects; otherwise display Fail.</t>
  </si>
  <si>
    <t>Find the number of BCA students who scored more than 80 marks in Mathematics.</t>
  </si>
  <si>
    <t>Retrieve the English marks of Roll No. 104.</t>
  </si>
  <si>
    <t>Present Days</t>
  </si>
  <si>
    <t>Basic Salary</t>
  </si>
  <si>
    <t>Late Days</t>
  </si>
  <si>
    <t>Display Full Salary if an employee has attended at least 26 days; otherwise display Deduct Salary.</t>
  </si>
  <si>
    <t>Display Good Attendance only if an employee has attended at least 26 days and has no more than 2 late days.</t>
  </si>
  <si>
    <t>Count the number of employees working in the HR department.</t>
  </si>
  <si>
    <t>Calculate the total basic salary of employees in the IT department.</t>
  </si>
  <si>
    <t>Retrieve the basic salary of Employee ID E103.</t>
  </si>
  <si>
    <t>Total Marks</t>
  </si>
  <si>
    <t>Percentage</t>
  </si>
  <si>
    <t>Pass/Fail</t>
  </si>
  <si>
    <t>ALL</t>
  </si>
  <si>
    <t>Total sales Delivered</t>
  </si>
  <si>
    <t>High/Normal</t>
  </si>
  <si>
    <t>Required/Not Required</t>
  </si>
  <si>
    <t>Full Salary/Deduct Salary</t>
  </si>
  <si>
    <t>Good Attendance/Bad Attendance</t>
  </si>
  <si>
    <t>salary</t>
  </si>
  <si>
    <t>supplier name</t>
  </si>
  <si>
    <t>index</t>
  </si>
  <si>
    <t>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</si>
</sst>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0" fillId="2" borderId="0" xfId="0" applyFill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5" fillId="0" borderId="0" xfId="0" applyFont="1"/>
    <xf numFmtId="0" fontId="5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0" fillId="3" borderId="0" xfId="0" applyFill="1"/>
    <xf numFmtId="0" fontId="4" fillId="3" borderId="0" xfId="0" applyFont="1" applyFill="1"/>
  </cellXfs>
  <cellStyles count="2">
    <cellStyle name="Normal" xfId="0" builtinId="0"/>
    <cellStyle name="Normal 2" xfId="1" xr:uid="{3CF3AD02-7B5C-4D0C-B66D-855300F5BD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b.com/" TargetMode="External"/><Relationship Id="rId1" Type="http://schemas.openxmlformats.org/officeDocument/2006/relationships/hyperlink" Target="http://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4"/>
  <sheetViews>
    <sheetView workbookViewId="0">
      <selection activeCell="I20" sqref="I20"/>
    </sheetView>
  </sheetViews>
  <sheetFormatPr defaultColWidth="12.5703125" defaultRowHeight="15.75" customHeight="1" x14ac:dyDescent="0.2"/>
  <sheetData>
    <row r="1" spans="1:7" x14ac:dyDescent="0.2">
      <c r="A1" s="1" t="s">
        <v>3</v>
      </c>
      <c r="B1" s="1" t="s">
        <v>4</v>
      </c>
      <c r="C1" s="1" t="s">
        <v>9</v>
      </c>
      <c r="D1" s="1" t="s">
        <v>13</v>
      </c>
      <c r="E1" s="1" t="s">
        <v>17</v>
      </c>
      <c r="F1" s="1" t="s">
        <v>21</v>
      </c>
      <c r="G1" s="1" t="s">
        <v>19</v>
      </c>
    </row>
    <row r="2" spans="1:7" x14ac:dyDescent="0.2">
      <c r="A2" s="2" t="s">
        <v>26</v>
      </c>
      <c r="B2" s="2" t="s">
        <v>23</v>
      </c>
      <c r="C2" s="2" t="s">
        <v>13</v>
      </c>
      <c r="D2" s="2">
        <v>650000</v>
      </c>
      <c r="E2" s="2">
        <v>600000</v>
      </c>
      <c r="F2" s="2">
        <v>6</v>
      </c>
      <c r="G2" s="2" t="s">
        <v>35</v>
      </c>
    </row>
    <row r="3" spans="1:7" x14ac:dyDescent="0.2">
      <c r="A3" s="2" t="s">
        <v>37</v>
      </c>
      <c r="B3" s="2" t="s">
        <v>38</v>
      </c>
      <c r="C3" s="2" t="s">
        <v>13</v>
      </c>
      <c r="D3" s="2">
        <v>550000</v>
      </c>
      <c r="E3" s="2">
        <v>600000</v>
      </c>
      <c r="F3" s="2">
        <v>3</v>
      </c>
      <c r="G3" s="2" t="s">
        <v>35</v>
      </c>
    </row>
    <row r="4" spans="1:7" x14ac:dyDescent="0.2">
      <c r="A4" s="2" t="s">
        <v>46</v>
      </c>
      <c r="B4" s="2" t="s">
        <v>30</v>
      </c>
      <c r="C4" s="2" t="s">
        <v>47</v>
      </c>
      <c r="D4" s="2">
        <v>300000</v>
      </c>
      <c r="E4" s="2">
        <v>300000</v>
      </c>
      <c r="F4" s="2">
        <v>5</v>
      </c>
      <c r="G4" s="2" t="s">
        <v>51</v>
      </c>
    </row>
    <row r="5" spans="1:7" x14ac:dyDescent="0.2">
      <c r="A5" s="2" t="s">
        <v>52</v>
      </c>
      <c r="B5" s="2" t="s">
        <v>54</v>
      </c>
      <c r="C5" s="2" t="s">
        <v>13</v>
      </c>
      <c r="D5" s="2">
        <v>720000</v>
      </c>
      <c r="E5" s="2">
        <v>700000</v>
      </c>
      <c r="F5" s="2">
        <v>8</v>
      </c>
      <c r="G5" s="2" t="s">
        <v>35</v>
      </c>
    </row>
    <row r="6" spans="1:7" x14ac:dyDescent="0.2">
      <c r="A6" s="2" t="s">
        <v>58</v>
      </c>
      <c r="B6" s="2" t="s">
        <v>49</v>
      </c>
      <c r="C6" s="2" t="s">
        <v>61</v>
      </c>
      <c r="D6" s="2">
        <v>480000</v>
      </c>
      <c r="E6" s="2">
        <v>500000</v>
      </c>
      <c r="F6" s="2">
        <v>4</v>
      </c>
      <c r="G6" s="2" t="s">
        <v>35</v>
      </c>
    </row>
    <row r="10" spans="1:7" x14ac:dyDescent="0.2">
      <c r="A10" s="2" t="s">
        <v>63</v>
      </c>
    </row>
    <row r="11" spans="1:7" x14ac:dyDescent="0.2">
      <c r="A11" s="2" t="s">
        <v>68</v>
      </c>
    </row>
    <row r="12" spans="1:7" x14ac:dyDescent="0.2">
      <c r="A12" s="2" t="s">
        <v>70</v>
      </c>
    </row>
    <row r="13" spans="1:7" x14ac:dyDescent="0.2">
      <c r="A13" s="2" t="s">
        <v>73</v>
      </c>
    </row>
    <row r="14" spans="1:7" x14ac:dyDescent="0.2">
      <c r="A14" s="2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9"/>
  <sheetViews>
    <sheetView zoomScale="140" zoomScaleNormal="140" workbookViewId="0">
      <selection activeCell="B19" sqref="B19"/>
    </sheetView>
  </sheetViews>
  <sheetFormatPr defaultColWidth="12.5703125" defaultRowHeight="15.75" customHeight="1" x14ac:dyDescent="0.2"/>
  <sheetData>
    <row r="1" spans="1:10" ht="12.75" x14ac:dyDescent="0.2">
      <c r="A1" s="1" t="s">
        <v>0</v>
      </c>
      <c r="B1" s="1" t="s">
        <v>4</v>
      </c>
      <c r="C1" s="1" t="s">
        <v>7</v>
      </c>
      <c r="D1" s="1" t="s">
        <v>10</v>
      </c>
      <c r="E1" s="1" t="s">
        <v>12</v>
      </c>
      <c r="F1" s="1" t="s">
        <v>16</v>
      </c>
      <c r="H1" s="1" t="s">
        <v>90</v>
      </c>
      <c r="I1" s="1" t="s">
        <v>91</v>
      </c>
      <c r="J1" s="1" t="s">
        <v>92</v>
      </c>
    </row>
    <row r="2" spans="1:10" ht="12.75" x14ac:dyDescent="0.2">
      <c r="A2" s="2">
        <v>101</v>
      </c>
      <c r="B2" s="2" t="s">
        <v>23</v>
      </c>
      <c r="C2" s="2" t="s">
        <v>25</v>
      </c>
      <c r="D2" s="2">
        <v>85</v>
      </c>
      <c r="E2" s="2">
        <v>78</v>
      </c>
      <c r="F2" s="2">
        <v>92</v>
      </c>
      <c r="H2">
        <f>SUM(D2:F2)</f>
        <v>255</v>
      </c>
      <c r="I2">
        <f>(H2/300)*100</f>
        <v>85</v>
      </c>
      <c r="J2" t="str">
        <f>IF(AND(D2&gt;=35,E2&gt;=35,F2&gt;=35),"Pass","Fail")</f>
        <v>Pass</v>
      </c>
    </row>
    <row r="3" spans="1:10" ht="12.75" x14ac:dyDescent="0.2">
      <c r="A3" s="2">
        <v>102</v>
      </c>
      <c r="B3" s="2" t="s">
        <v>30</v>
      </c>
      <c r="C3" s="2" t="s">
        <v>25</v>
      </c>
      <c r="D3" s="2">
        <v>45</v>
      </c>
      <c r="E3" s="2">
        <v>25</v>
      </c>
      <c r="F3" s="2">
        <v>40</v>
      </c>
      <c r="H3">
        <f t="shared" ref="H3:H6" si="0">SUM(D3:F3)</f>
        <v>110</v>
      </c>
      <c r="I3">
        <f t="shared" ref="I3:I6" si="1">H3/300*100</f>
        <v>36.666666666666664</v>
      </c>
      <c r="J3" t="str">
        <f>IF(AND(D3&gt;=35,E3&gt;=35,F3&gt;=35),"Pass","Fail")</f>
        <v>Fail</v>
      </c>
    </row>
    <row r="4" spans="1:10" ht="12.75" x14ac:dyDescent="0.2">
      <c r="A4" s="2">
        <v>103</v>
      </c>
      <c r="B4" s="2" t="s">
        <v>38</v>
      </c>
      <c r="C4" s="3" t="s">
        <v>40</v>
      </c>
      <c r="D4" s="2">
        <v>70</v>
      </c>
      <c r="E4" s="2">
        <v>88</v>
      </c>
      <c r="F4" s="2">
        <v>75</v>
      </c>
      <c r="H4">
        <f t="shared" si="0"/>
        <v>233</v>
      </c>
      <c r="I4">
        <f t="shared" si="1"/>
        <v>77.666666666666657</v>
      </c>
      <c r="J4" t="str">
        <f>IF(AND(D4&gt;=35,E4&gt;=35,F4&gt;=35),"Pass","Fail")</f>
        <v>Pass</v>
      </c>
    </row>
    <row r="5" spans="1:10" ht="12.75" x14ac:dyDescent="0.2">
      <c r="A5" s="2">
        <v>104</v>
      </c>
      <c r="B5" s="2" t="s">
        <v>54</v>
      </c>
      <c r="C5" s="2" t="s">
        <v>25</v>
      </c>
      <c r="D5" s="2">
        <v>90</v>
      </c>
      <c r="E5" s="2">
        <v>94</v>
      </c>
      <c r="F5" s="2">
        <v>87</v>
      </c>
      <c r="H5">
        <f t="shared" si="0"/>
        <v>271</v>
      </c>
      <c r="I5">
        <f t="shared" si="1"/>
        <v>90.333333333333329</v>
      </c>
      <c r="J5" t="str">
        <f>IF(AND(D5&gt;=35,E5&gt;=35,F5&gt;=35),"Pass","Fail")</f>
        <v>Pass</v>
      </c>
    </row>
    <row r="6" spans="1:10" ht="12.75" x14ac:dyDescent="0.2">
      <c r="A6" s="2">
        <v>105</v>
      </c>
      <c r="B6" s="2" t="s">
        <v>49</v>
      </c>
      <c r="C6" s="3" t="s">
        <v>40</v>
      </c>
      <c r="D6" s="2">
        <v>35</v>
      </c>
      <c r="E6" s="2">
        <v>50</v>
      </c>
      <c r="F6" s="2">
        <v>55</v>
      </c>
      <c r="H6">
        <f t="shared" si="0"/>
        <v>140</v>
      </c>
      <c r="I6">
        <f t="shared" si="1"/>
        <v>46.666666666666664</v>
      </c>
      <c r="J6" t="str">
        <f>IF(AND(D6&gt;=35,E6&gt;=35,F6&gt;=35),"Pass","Fail")</f>
        <v>Pass</v>
      </c>
    </row>
    <row r="11" spans="1:10" ht="12.75" x14ac:dyDescent="0.2">
      <c r="A11" s="2" t="s">
        <v>77</v>
      </c>
    </row>
    <row r="12" spans="1:10" ht="12.75" x14ac:dyDescent="0.2">
      <c r="A12" s="2"/>
    </row>
    <row r="13" spans="1:10" ht="12.75" x14ac:dyDescent="0.2">
      <c r="A13" s="2" t="s">
        <v>78</v>
      </c>
    </row>
    <row r="14" spans="1:10" ht="12.75" x14ac:dyDescent="0.2">
      <c r="A14" s="2" t="s">
        <v>79</v>
      </c>
    </row>
    <row r="15" spans="1:10" ht="12.75" x14ac:dyDescent="0.2">
      <c r="A15" s="2" t="s">
        <v>80</v>
      </c>
    </row>
    <row r="16" spans="1:10" ht="12.75" x14ac:dyDescent="0.2">
      <c r="A16" s="2">
        <f>COUNTIFS(C2:C6,"BCA",D2:D6,"&gt;80")</f>
        <v>2</v>
      </c>
    </row>
    <row r="17" spans="1:7" ht="12.75" x14ac:dyDescent="0.2">
      <c r="A17" s="2"/>
    </row>
    <row r="18" spans="1:7" ht="12.75" x14ac:dyDescent="0.2">
      <c r="A18" s="2" t="s">
        <v>81</v>
      </c>
    </row>
    <row r="19" spans="1:7" ht="15.75" customHeight="1" x14ac:dyDescent="0.2">
      <c r="A19">
        <v>104</v>
      </c>
      <c r="B19" cm="1">
        <f t="array" ref="B19:G19">_xlfn.XLOOKUP(A19,A2:A6,A2:F6)</f>
        <v>104</v>
      </c>
      <c r="C19" t="str">
        <v>Priya</v>
      </c>
      <c r="D19" t="str">
        <v>BCA</v>
      </c>
      <c r="E19">
        <v>90</v>
      </c>
      <c r="F19">
        <v>94</v>
      </c>
      <c r="G19">
        <v>87</v>
      </c>
    </row>
  </sheetData>
  <dataValidations count="1">
    <dataValidation type="list" allowBlank="1" showInputMessage="1" showErrorMessage="1" sqref="A19" xr:uid="{82C37003-0007-418A-BABA-75775FA8EAB8}">
      <formula1>$A$2:$A$6</formula1>
    </dataValidation>
  </dataValidations>
  <hyperlinks>
    <hyperlink ref="C4" r:id="rId1" xr:uid="{00000000-0004-0000-0100-000000000000}"/>
    <hyperlink ref="C6" r:id="rId2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7"/>
  <sheetViews>
    <sheetView topLeftCell="A4" zoomScale="130" zoomScaleNormal="130" workbookViewId="0">
      <selection activeCell="H19" sqref="H19"/>
    </sheetView>
  </sheetViews>
  <sheetFormatPr defaultColWidth="12.5703125" defaultRowHeight="15.75" customHeight="1" x14ac:dyDescent="0.2"/>
  <cols>
    <col min="1" max="1" width="19.140625" customWidth="1"/>
  </cols>
  <sheetData>
    <row r="1" spans="1:8" x14ac:dyDescent="0.2">
      <c r="A1" s="1" t="s">
        <v>2</v>
      </c>
      <c r="B1" s="1" t="s">
        <v>5</v>
      </c>
      <c r="C1" s="1" t="s">
        <v>8</v>
      </c>
      <c r="D1" s="1" t="s">
        <v>11</v>
      </c>
      <c r="E1" s="1" t="s">
        <v>15</v>
      </c>
      <c r="F1" s="1" t="s">
        <v>19</v>
      </c>
      <c r="G1" s="9">
        <v>5</v>
      </c>
      <c r="H1" s="7" t="s">
        <v>95</v>
      </c>
    </row>
    <row r="2" spans="1:8" x14ac:dyDescent="0.2">
      <c r="A2" s="1" t="s">
        <v>93</v>
      </c>
      <c r="B2" s="1" t="s">
        <v>93</v>
      </c>
      <c r="C2" s="1" t="s">
        <v>93</v>
      </c>
      <c r="D2" s="1" t="s">
        <v>93</v>
      </c>
      <c r="E2" s="1" t="s">
        <v>93</v>
      </c>
      <c r="F2" s="1" t="s">
        <v>93</v>
      </c>
    </row>
    <row r="3" spans="1:8" x14ac:dyDescent="0.2">
      <c r="A3" s="2" t="s">
        <v>22</v>
      </c>
      <c r="B3" s="2" t="s">
        <v>23</v>
      </c>
      <c r="C3" s="2" t="s">
        <v>28</v>
      </c>
      <c r="D3" s="2">
        <v>2</v>
      </c>
      <c r="E3" s="2">
        <v>55000</v>
      </c>
      <c r="F3" s="2" t="s">
        <v>31</v>
      </c>
      <c r="H3" t="str" cm="1">
        <f t="array" ref="H3:H7">IF(E3:E7&gt;50000,"High Order","Normal Order")</f>
        <v>High Order</v>
      </c>
    </row>
    <row r="4" spans="1:8" x14ac:dyDescent="0.2">
      <c r="A4" s="2" t="s">
        <v>33</v>
      </c>
      <c r="B4" s="2" t="s">
        <v>30</v>
      </c>
      <c r="C4" s="2" t="s">
        <v>36</v>
      </c>
      <c r="D4" s="2">
        <v>1</v>
      </c>
      <c r="E4" s="2">
        <v>18000</v>
      </c>
      <c r="F4" s="2" t="s">
        <v>41</v>
      </c>
      <c r="H4" t="str">
        <v>Normal Order</v>
      </c>
    </row>
    <row r="5" spans="1:8" x14ac:dyDescent="0.2">
      <c r="A5" s="2" t="s">
        <v>42</v>
      </c>
      <c r="B5" s="2" t="s">
        <v>38</v>
      </c>
      <c r="C5" s="2" t="s">
        <v>28</v>
      </c>
      <c r="D5" s="2">
        <v>1</v>
      </c>
      <c r="E5" s="2">
        <v>62000</v>
      </c>
      <c r="F5" s="2" t="s">
        <v>31</v>
      </c>
      <c r="H5" t="str">
        <v>High Order</v>
      </c>
    </row>
    <row r="6" spans="1:8" x14ac:dyDescent="0.2">
      <c r="A6" s="2" t="s">
        <v>48</v>
      </c>
      <c r="B6" s="2" t="s">
        <v>49</v>
      </c>
      <c r="C6" s="2" t="s">
        <v>50</v>
      </c>
      <c r="D6" s="2">
        <v>3</v>
      </c>
      <c r="E6" s="2">
        <v>15000</v>
      </c>
      <c r="F6" s="2" t="s">
        <v>53</v>
      </c>
      <c r="H6" t="str">
        <v>Normal Order</v>
      </c>
    </row>
    <row r="7" spans="1:8" x14ac:dyDescent="0.2">
      <c r="A7" s="2" t="s">
        <v>56</v>
      </c>
      <c r="B7" s="2" t="s">
        <v>54</v>
      </c>
      <c r="C7" s="2" t="s">
        <v>36</v>
      </c>
      <c r="D7" s="2">
        <v>2</v>
      </c>
      <c r="E7" s="2">
        <v>20000</v>
      </c>
      <c r="F7" s="2" t="s">
        <v>31</v>
      </c>
      <c r="H7" t="str">
        <v>Normal Order</v>
      </c>
    </row>
    <row r="11" spans="1:8" s="13" customFormat="1" x14ac:dyDescent="0.2">
      <c r="A11" s="12" t="s">
        <v>62</v>
      </c>
    </row>
    <row r="12" spans="1:8" x14ac:dyDescent="0.2">
      <c r="A12" s="11">
        <f>SUM(D3:D7)</f>
        <v>9</v>
      </c>
    </row>
    <row r="13" spans="1:8" s="13" customFormat="1" x14ac:dyDescent="0.2">
      <c r="A13" s="12" t="s">
        <v>64</v>
      </c>
    </row>
    <row r="14" spans="1:8" x14ac:dyDescent="0.2">
      <c r="A14" s="2"/>
    </row>
    <row r="15" spans="1:8" x14ac:dyDescent="0.2">
      <c r="A15" s="1"/>
      <c r="B15" s="1"/>
      <c r="C15" s="1"/>
      <c r="D15" s="1"/>
      <c r="E15" s="1"/>
      <c r="F15" s="1"/>
    </row>
    <row r="16" spans="1:8" x14ac:dyDescent="0.2"/>
    <row r="17" spans="1:7" x14ac:dyDescent="0.2">
      <c r="A17" s="5"/>
    </row>
    <row r="18" spans="1:7" x14ac:dyDescent="0.2">
      <c r="A18" s="2" t="s">
        <v>66</v>
      </c>
    </row>
    <row r="19" spans="1:7" x14ac:dyDescent="0.2">
      <c r="A19" s="5" t="s">
        <v>94</v>
      </c>
      <c r="B19" s="10">
        <f>SUMIFS(E3:E7,F3:F7,"Delivered")</f>
        <v>137000</v>
      </c>
    </row>
    <row r="20" spans="1:7" x14ac:dyDescent="0.2">
      <c r="A20" s="2"/>
    </row>
    <row r="23" spans="1:7" x14ac:dyDescent="0.2">
      <c r="A23" s="2" t="s">
        <v>69</v>
      </c>
    </row>
    <row r="24" spans="1:7" x14ac:dyDescent="0.2">
      <c r="A24" s="2" t="s">
        <v>56</v>
      </c>
      <c r="B24" t="s">
        <v>33</v>
      </c>
    </row>
    <row r="25" spans="1:7" x14ac:dyDescent="0.2">
      <c r="A25" s="1"/>
      <c r="B25" s="1" t="str" cm="1">
        <f t="array" ref="B25:G25">_xlfn.XLOOKUP(B24,A3:A7,A3:F7)</f>
        <v>O102</v>
      </c>
      <c r="C25" s="1" t="str">
        <v>Raj</v>
      </c>
      <c r="D25" s="1" t="str">
        <v>Mobile</v>
      </c>
      <c r="E25" s="1">
        <v>1</v>
      </c>
      <c r="F25">
        <v>18000</v>
      </c>
      <c r="G25" t="str">
        <v>Pending</v>
      </c>
    </row>
    <row r="26" spans="1:7" x14ac:dyDescent="0.2">
      <c r="A26" s="2"/>
    </row>
    <row r="27" spans="1:7" x14ac:dyDescent="0.2">
      <c r="A27" s="2" t="s">
        <v>72</v>
      </c>
    </row>
  </sheetData>
  <dataValidations disablePrompts="1" count="6">
    <dataValidation type="list" allowBlank="1" showInputMessage="1" showErrorMessage="1" sqref="A16" xr:uid="{321D10BC-9985-4BC5-AA59-C7D4BE9F10E9}">
      <formula1>$A$2:$A$7</formula1>
    </dataValidation>
    <dataValidation type="list" allowBlank="1" showInputMessage="1" showErrorMessage="1" sqref="B16" xr:uid="{D96F9E99-D5F4-4222-AA07-88AC9B72C844}">
      <formula1>$B$2:$B$7</formula1>
    </dataValidation>
    <dataValidation type="list" allowBlank="1" showInputMessage="1" showErrorMessage="1" sqref="C16" xr:uid="{C6319B79-F940-4913-AE46-D9E63431EA98}">
      <formula1>$C$2:$C$7</formula1>
    </dataValidation>
    <dataValidation type="list" allowBlank="1" showInputMessage="1" showErrorMessage="1" sqref="D16" xr:uid="{75CC1A99-811E-4D7F-8123-A10ED7B1A753}">
      <formula1>$D$2:$D$7</formula1>
    </dataValidation>
    <dataValidation type="list" allowBlank="1" showInputMessage="1" showErrorMessage="1" sqref="F16" xr:uid="{1C6AA61D-AE4B-4672-8E2F-221A0AC132CE}">
      <formula1>$F$2:$F$7</formula1>
    </dataValidation>
    <dataValidation type="list" allowBlank="1" showInputMessage="1" showErrorMessage="1" sqref="B24" xr:uid="{641EEEC9-A33F-4204-8FF7-31500B4AFDF2}">
      <formula1>$A$3:$A$7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26"/>
  <sheetViews>
    <sheetView topLeftCell="A7" zoomScale="130" zoomScaleNormal="130" workbookViewId="0">
      <selection activeCell="D26" sqref="D26"/>
    </sheetView>
  </sheetViews>
  <sheetFormatPr defaultColWidth="12.5703125" defaultRowHeight="15.75" customHeight="1" x14ac:dyDescent="0.2"/>
  <cols>
    <col min="8" max="8" width="22.140625" bestFit="1" customWidth="1"/>
  </cols>
  <sheetData>
    <row r="1" spans="1:8" ht="12.75" x14ac:dyDescent="0.2">
      <c r="A1" s="1" t="s">
        <v>1</v>
      </c>
      <c r="B1" s="1" t="s">
        <v>6</v>
      </c>
      <c r="C1" s="1" t="s">
        <v>8</v>
      </c>
      <c r="D1" s="1" t="s">
        <v>14</v>
      </c>
      <c r="E1" s="1" t="s">
        <v>18</v>
      </c>
      <c r="F1" s="1" t="s">
        <v>20</v>
      </c>
      <c r="G1" s="9">
        <v>1</v>
      </c>
      <c r="H1" s="7" t="s">
        <v>96</v>
      </c>
    </row>
    <row r="2" spans="1:8" ht="12.75" x14ac:dyDescent="0.2">
      <c r="A2" s="2" t="s">
        <v>24</v>
      </c>
      <c r="B2" s="2" t="s">
        <v>27</v>
      </c>
      <c r="C2" s="2" t="s">
        <v>29</v>
      </c>
      <c r="D2" s="2">
        <v>50</v>
      </c>
      <c r="E2" s="2">
        <v>20</v>
      </c>
      <c r="F2" s="2" t="s">
        <v>32</v>
      </c>
      <c r="H2" s="6" t="str">
        <f>IF(D2&lt;=E2,"Require","Not Require")</f>
        <v>Not Require</v>
      </c>
    </row>
    <row r="3" spans="1:8" ht="12.75" x14ac:dyDescent="0.2">
      <c r="A3" s="2" t="s">
        <v>34</v>
      </c>
      <c r="B3" s="2" t="s">
        <v>28</v>
      </c>
      <c r="C3" s="2" t="s">
        <v>39</v>
      </c>
      <c r="D3" s="2">
        <v>12</v>
      </c>
      <c r="E3" s="2">
        <v>20</v>
      </c>
      <c r="F3" s="2" t="s">
        <v>43</v>
      </c>
      <c r="H3" s="6" t="str">
        <f t="shared" ref="H3:H6" si="0">IF(D3&lt;=E3,"Require","Not Require")</f>
        <v>Require</v>
      </c>
    </row>
    <row r="4" spans="1:8" ht="12.75" x14ac:dyDescent="0.2">
      <c r="A4" s="2" t="s">
        <v>44</v>
      </c>
      <c r="B4" s="2" t="s">
        <v>45</v>
      </c>
      <c r="C4" s="2" t="s">
        <v>29</v>
      </c>
      <c r="D4" s="2">
        <v>18</v>
      </c>
      <c r="E4" s="2">
        <v>15</v>
      </c>
      <c r="F4" s="2" t="s">
        <v>32</v>
      </c>
      <c r="H4" s="6" t="str">
        <f t="shared" si="0"/>
        <v>Not Require</v>
      </c>
    </row>
    <row r="5" spans="1:8" ht="12.75" x14ac:dyDescent="0.2">
      <c r="A5" s="2" t="s">
        <v>55</v>
      </c>
      <c r="B5" s="2" t="s">
        <v>57</v>
      </c>
      <c r="C5" s="2" t="s">
        <v>39</v>
      </c>
      <c r="D5" s="2">
        <v>10</v>
      </c>
      <c r="E5" s="2">
        <v>15</v>
      </c>
      <c r="F5" s="2" t="s">
        <v>43</v>
      </c>
      <c r="H5" s="6" t="str">
        <f t="shared" si="0"/>
        <v>Require</v>
      </c>
    </row>
    <row r="6" spans="1:8" ht="12.75" x14ac:dyDescent="0.2">
      <c r="A6" s="2" t="s">
        <v>59</v>
      </c>
      <c r="B6" s="2" t="s">
        <v>60</v>
      </c>
      <c r="C6" s="2" t="s">
        <v>39</v>
      </c>
      <c r="D6" s="2">
        <v>8</v>
      </c>
      <c r="E6" s="2">
        <v>10</v>
      </c>
      <c r="F6" s="2" t="s">
        <v>32</v>
      </c>
      <c r="H6" s="6" t="str">
        <f t="shared" si="0"/>
        <v>Require</v>
      </c>
    </row>
    <row r="10" spans="1:8" ht="12.75" x14ac:dyDescent="0.2">
      <c r="A10" s="2" t="s">
        <v>65</v>
      </c>
    </row>
    <row r="11" spans="1:8" ht="12.75" x14ac:dyDescent="0.2">
      <c r="A11" s="2"/>
    </row>
    <row r="12" spans="1:8" s="13" customFormat="1" ht="12.75" x14ac:dyDescent="0.2">
      <c r="A12" s="12" t="s">
        <v>67</v>
      </c>
    </row>
    <row r="13" spans="1:8" ht="12.75" x14ac:dyDescent="0.2">
      <c r="A13" s="2" t="s">
        <v>39</v>
      </c>
      <c r="B13" t="str" cm="1">
        <f t="array" ref="B13:D13">_xlfn.XLOOKUP(A13,C2:C6,B2:D6)</f>
        <v>Laptop</v>
      </c>
      <c r="C13" t="str">
        <v>Electronics</v>
      </c>
      <c r="D13">
        <v>12</v>
      </c>
    </row>
    <row r="14" spans="1:8" ht="12.75" x14ac:dyDescent="0.2">
      <c r="A14" s="2"/>
    </row>
    <row r="15" spans="1:8" ht="12.75" x14ac:dyDescent="0.2">
      <c r="A15" s="2"/>
    </row>
    <row r="16" spans="1:8" ht="12.75" x14ac:dyDescent="0.2">
      <c r="A16" s="2"/>
    </row>
    <row r="17" spans="1:7" ht="12.75" x14ac:dyDescent="0.2">
      <c r="A17" s="2"/>
    </row>
    <row r="18" spans="1:7" ht="12.75" x14ac:dyDescent="0.2">
      <c r="A18" s="2"/>
    </row>
    <row r="19" spans="1:7" s="13" customFormat="1" ht="12.75" x14ac:dyDescent="0.2">
      <c r="A19" s="12" t="s">
        <v>71</v>
      </c>
    </row>
    <row r="20" spans="1:7" ht="12.75" x14ac:dyDescent="0.2">
      <c r="A20" s="2"/>
    </row>
    <row r="21" spans="1:7" ht="12.75" x14ac:dyDescent="0.2">
      <c r="A21" s="2"/>
    </row>
    <row r="22" spans="1:7" ht="12.75" x14ac:dyDescent="0.2">
      <c r="A22" s="2" t="s">
        <v>74</v>
      </c>
      <c r="G22" s="9" t="s">
        <v>100</v>
      </c>
    </row>
    <row r="23" spans="1:7" ht="12.75" x14ac:dyDescent="0.2">
      <c r="A23" s="8" t="s">
        <v>34</v>
      </c>
      <c r="B23" s="6" t="str" cm="1">
        <f t="array" ref="B23:G23">_xlfn.XLOOKUP(A23,A2:A6,A2:F6)</f>
        <v>P102</v>
      </c>
      <c r="C23" s="6" t="str">
        <v>Laptop</v>
      </c>
      <c r="D23" s="6" t="str">
        <v>Electronics</v>
      </c>
      <c r="E23" s="6">
        <v>12</v>
      </c>
      <c r="F23" s="6">
        <v>20</v>
      </c>
      <c r="G23" s="6" t="str">
        <v>XYZ</v>
      </c>
    </row>
    <row r="24" spans="1:7" ht="12.75" x14ac:dyDescent="0.2">
      <c r="A24" s="2"/>
    </row>
    <row r="25" spans="1:7" ht="12.75" x14ac:dyDescent="0.2">
      <c r="A25" s="2" t="s">
        <v>75</v>
      </c>
    </row>
    <row r="26" spans="1:7" ht="15.75" customHeight="1" x14ac:dyDescent="0.2">
      <c r="A26" s="2" t="s">
        <v>60</v>
      </c>
      <c r="B26" s="6">
        <f>MATCH(A26,B2:B6)</f>
        <v>5</v>
      </c>
      <c r="D26" s="14" t="s">
        <v>101</v>
      </c>
    </row>
  </sheetData>
  <dataValidations count="1">
    <dataValidation type="list" allowBlank="1" showInputMessage="1" showErrorMessage="1" sqref="A23" xr:uid="{E499F06F-0D03-4E5A-9F10-CB576E388B0E}">
      <formula1>$A$2:$A$6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23"/>
  <sheetViews>
    <sheetView tabSelected="1" zoomScale="130" zoomScaleNormal="130" workbookViewId="0">
      <selection activeCell="I17" sqref="I17"/>
    </sheetView>
  </sheetViews>
  <sheetFormatPr defaultColWidth="12.5703125" defaultRowHeight="15.75" customHeight="1" x14ac:dyDescent="0.2"/>
  <cols>
    <col min="8" max="8" width="24.5703125" bestFit="1" customWidth="1"/>
    <col min="9" max="9" width="32.42578125" bestFit="1" customWidth="1"/>
  </cols>
  <sheetData>
    <row r="1" spans="1:9" ht="12.75" x14ac:dyDescent="0.2">
      <c r="A1" s="1" t="s">
        <v>3</v>
      </c>
      <c r="B1" s="1" t="s">
        <v>4</v>
      </c>
      <c r="C1" s="1" t="s">
        <v>82</v>
      </c>
      <c r="D1" s="1" t="s">
        <v>83</v>
      </c>
      <c r="E1" s="1" t="s">
        <v>9</v>
      </c>
      <c r="F1" s="1" t="s">
        <v>84</v>
      </c>
      <c r="H1" s="7" t="s">
        <v>97</v>
      </c>
      <c r="I1" s="7" t="s">
        <v>98</v>
      </c>
    </row>
    <row r="2" spans="1:9" ht="12.75" x14ac:dyDescent="0.2">
      <c r="A2" s="2" t="s">
        <v>26</v>
      </c>
      <c r="B2" s="2" t="s">
        <v>23</v>
      </c>
      <c r="C2" s="2">
        <v>28</v>
      </c>
      <c r="D2" s="2">
        <v>30000</v>
      </c>
      <c r="E2" s="2" t="s">
        <v>61</v>
      </c>
      <c r="F2" s="2">
        <v>1</v>
      </c>
      <c r="H2" s="6" t="str">
        <f>IF(C2&gt;26,"Full","Deduct")</f>
        <v>Full</v>
      </c>
      <c r="I2" t="str">
        <f>IF(AND(C2&gt;26,F2&lt;2),"Good","Bad")</f>
        <v>Good</v>
      </c>
    </row>
    <row r="3" spans="1:9" ht="12.75" x14ac:dyDescent="0.2">
      <c r="A3" s="2" t="s">
        <v>37</v>
      </c>
      <c r="B3" s="2" t="s">
        <v>30</v>
      </c>
      <c r="C3" s="2">
        <v>22</v>
      </c>
      <c r="D3" s="2">
        <v>25000</v>
      </c>
      <c r="E3" s="2" t="s">
        <v>47</v>
      </c>
      <c r="F3" s="2">
        <v>5</v>
      </c>
      <c r="H3" s="6" t="str">
        <f t="shared" ref="H3:H6" si="0">IF(C3&gt;26,"Full","Deduct")</f>
        <v>Deduct</v>
      </c>
      <c r="I3" t="str">
        <f t="shared" ref="I3:I6" si="1">IF(AND(C3&gt;26,F3&lt;2),"Good","Bad")</f>
        <v>Bad</v>
      </c>
    </row>
    <row r="4" spans="1:9" ht="12.75" x14ac:dyDescent="0.2">
      <c r="A4" s="2" t="s">
        <v>46</v>
      </c>
      <c r="B4" s="2" t="s">
        <v>38</v>
      </c>
      <c r="C4" s="2">
        <v>30</v>
      </c>
      <c r="D4" s="2">
        <v>40000</v>
      </c>
      <c r="E4" s="2" t="s">
        <v>61</v>
      </c>
      <c r="F4" s="2">
        <v>0</v>
      </c>
      <c r="H4" s="6" t="str">
        <f t="shared" si="0"/>
        <v>Full</v>
      </c>
      <c r="I4" t="str">
        <f t="shared" si="1"/>
        <v>Good</v>
      </c>
    </row>
    <row r="5" spans="1:9" ht="12.75" x14ac:dyDescent="0.2">
      <c r="A5" s="2" t="s">
        <v>52</v>
      </c>
      <c r="B5" s="2" t="s">
        <v>54</v>
      </c>
      <c r="C5" s="2">
        <v>25</v>
      </c>
      <c r="D5" s="2">
        <v>28000</v>
      </c>
      <c r="E5" s="2" t="s">
        <v>13</v>
      </c>
      <c r="F5" s="2">
        <v>3</v>
      </c>
      <c r="H5" s="6" t="str">
        <f t="shared" si="0"/>
        <v>Deduct</v>
      </c>
      <c r="I5" t="str">
        <f t="shared" si="1"/>
        <v>Bad</v>
      </c>
    </row>
    <row r="6" spans="1:9" ht="12.75" x14ac:dyDescent="0.2">
      <c r="A6" s="2" t="s">
        <v>58</v>
      </c>
      <c r="B6" s="2" t="s">
        <v>49</v>
      </c>
      <c r="C6" s="2">
        <v>18</v>
      </c>
      <c r="D6" s="2">
        <v>22000</v>
      </c>
      <c r="E6" s="2" t="s">
        <v>47</v>
      </c>
      <c r="F6" s="2">
        <v>6</v>
      </c>
      <c r="H6" s="6" t="str">
        <f t="shared" si="0"/>
        <v>Deduct</v>
      </c>
      <c r="I6" t="str">
        <f t="shared" si="1"/>
        <v>Bad</v>
      </c>
    </row>
    <row r="11" spans="1:9" ht="12.75" x14ac:dyDescent="0.2">
      <c r="A11" s="2" t="s">
        <v>85</v>
      </c>
    </row>
    <row r="12" spans="1:9" ht="12.75" x14ac:dyDescent="0.2">
      <c r="A12" s="2" t="s">
        <v>86</v>
      </c>
    </row>
    <row r="13" spans="1:9" ht="12.75" x14ac:dyDescent="0.2">
      <c r="A13" s="2" t="s">
        <v>87</v>
      </c>
    </row>
    <row r="14" spans="1:9" ht="12.75" x14ac:dyDescent="0.2">
      <c r="A14" s="8">
        <f>COUNTIF(E2:E6,"HR")</f>
        <v>2</v>
      </c>
    </row>
    <row r="15" spans="1:9" ht="12.75" x14ac:dyDescent="0.2">
      <c r="A15" s="2"/>
    </row>
    <row r="16" spans="1:9" ht="12.75" x14ac:dyDescent="0.2">
      <c r="A16" s="2"/>
    </row>
    <row r="17" spans="1:7" ht="12.75" x14ac:dyDescent="0.2">
      <c r="A17" s="2" t="s">
        <v>88</v>
      </c>
    </row>
    <row r="18" spans="1:7" ht="12.75" x14ac:dyDescent="0.2">
      <c r="A18" s="11">
        <f>SUMIFS(D2:D6,E2:E6,"IT")</f>
        <v>70000</v>
      </c>
    </row>
    <row r="19" spans="1:7" ht="12.75" x14ac:dyDescent="0.2">
      <c r="A19" s="2"/>
    </row>
    <row r="20" spans="1:7" ht="12.75" x14ac:dyDescent="0.2">
      <c r="A20" s="2"/>
    </row>
    <row r="21" spans="1:7" ht="12.75" x14ac:dyDescent="0.2">
      <c r="A21" s="2" t="s">
        <v>89</v>
      </c>
      <c r="E21" s="10" t="s">
        <v>99</v>
      </c>
    </row>
    <row r="22" spans="1:7" ht="15.75" customHeight="1" x14ac:dyDescent="0.2">
      <c r="A22" s="4" t="s">
        <v>52</v>
      </c>
      <c r="B22" t="str" cm="1">
        <f t="array" ref="B22:G22">_xlfn.XLOOKUP(A22,A2:A6,A2:F6)</f>
        <v>E104</v>
      </c>
      <c r="C22" t="str">
        <v>Priya</v>
      </c>
      <c r="D22">
        <v>25</v>
      </c>
      <c r="E22" s="10">
        <v>28000</v>
      </c>
      <c r="F22" t="str">
        <v>Sales</v>
      </c>
      <c r="G22">
        <v>3</v>
      </c>
    </row>
    <row r="23" spans="1:7" ht="15.75" customHeight="1" x14ac:dyDescent="0.2">
      <c r="A23" s="1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 Emp</vt:lpstr>
      <vt:lpstr>2 Student</vt:lpstr>
      <vt:lpstr>3 Order</vt:lpstr>
      <vt:lpstr>4 Inventory</vt:lpstr>
      <vt:lpstr>5 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bitkhanan</dc:creator>
  <cp:lastModifiedBy>bitkhanan</cp:lastModifiedBy>
  <dcterms:created xsi:type="dcterms:W3CDTF">2026-08-11T15:43:07Z</dcterms:created>
  <dcterms:modified xsi:type="dcterms:W3CDTF">2026-08-11T15:43:07Z</dcterms:modified>
</cp:coreProperties>
</file>