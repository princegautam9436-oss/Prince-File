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ince\Excel\"/>
    </mc:Choice>
  </mc:AlternateContent>
  <xr:revisionPtr revIDLastSave="0" documentId="13_ncr:1_{0E9F204B-3864-4BEC-9708-E8E0345D9696}" xr6:coauthVersionLast="47" xr6:coauthVersionMax="47" xr10:uidLastSave="{00000000-0000-0000-0000-000000000000}"/>
  <bookViews>
    <workbookView xWindow="-120" yWindow="-120" windowWidth="25440" windowHeight="15390" activeTab="8" xr2:uid="{BE0F9996-B031-426D-95DD-1A3C41EA645E}"/>
  </bookViews>
  <sheets>
    <sheet name="basic 2" sheetId="2" r:id="rId1"/>
    <sheet name="concat" sheetId="3" r:id="rId2"/>
    <sheet name="Sheet2" sheetId="4" r:id="rId3"/>
    <sheet name="Sheet3" sheetId="5" r:id="rId4"/>
    <sheet name="Sheet4" sheetId="6" r:id="rId5"/>
    <sheet name="Sheet5" sheetId="7" r:id="rId6"/>
    <sheet name="practice 1" sheetId="8" r:id="rId7"/>
    <sheet name="data validtion" sheetId="9" r:id="rId8"/>
    <sheet name="Sheet1" sheetId="10" r:id="rId9"/>
    <sheet name="Sheet6" sheetId="11" r:id="rId10"/>
    <sheet name="Sheet7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4" i="10" l="1"/>
  <c r="G5" i="10"/>
  <c r="G6" i="10"/>
  <c r="G7" i="10"/>
  <c r="G3" i="10"/>
  <c r="E4" i="10"/>
  <c r="E5" i="10"/>
  <c r="E6" i="10"/>
  <c r="E7" i="10"/>
  <c r="E3" i="10"/>
  <c r="E17" i="9"/>
  <c r="E21" i="9"/>
  <c r="E19" i="9"/>
  <c r="D9" i="3"/>
  <c r="H18" i="8"/>
  <c r="C28" i="8"/>
  <c r="C27" i="8"/>
  <c r="C26" i="8"/>
  <c r="J11" i="8"/>
  <c r="J9" i="8"/>
  <c r="H25" i="8"/>
  <c r="H22" i="8"/>
  <c r="H20" i="8"/>
  <c r="B20" i="8"/>
  <c r="H16" i="8"/>
  <c r="A22" i="8"/>
  <c r="A20" i="8"/>
  <c r="A17" i="8"/>
  <c r="D8" i="7"/>
  <c r="F8" i="7"/>
  <c r="E8" i="7"/>
  <c r="F2" i="7"/>
  <c r="E2" i="7"/>
  <c r="D2" i="7"/>
  <c r="O2" i="7"/>
  <c r="L2" i="7"/>
  <c r="H2" i="7"/>
  <c r="G2" i="7"/>
  <c r="C8" i="7" s="1"/>
  <c r="H5" i="6"/>
  <c r="H6" i="6"/>
  <c r="H4" i="6"/>
  <c r="G5" i="6"/>
  <c r="G6" i="6"/>
  <c r="G4" i="6"/>
  <c r="F6" i="6"/>
  <c r="F5" i="6"/>
  <c r="F4" i="6"/>
  <c r="E6" i="6"/>
  <c r="E5" i="6"/>
  <c r="E4" i="6"/>
  <c r="H3" i="5"/>
  <c r="H4" i="5"/>
  <c r="H5" i="5"/>
  <c r="D10" i="5"/>
  <c r="D11" i="5"/>
  <c r="D12" i="5"/>
  <c r="D13" i="5"/>
  <c r="G4" i="5"/>
  <c r="G5" i="5"/>
  <c r="G3" i="5"/>
  <c r="F4" i="5"/>
  <c r="F5" i="5"/>
  <c r="F3" i="5"/>
  <c r="E4" i="5"/>
  <c r="E5" i="5"/>
  <c r="E3" i="5"/>
  <c r="E9" i="4"/>
  <c r="D9" i="4"/>
  <c r="C9" i="4"/>
  <c r="J3" i="3"/>
  <c r="J4" i="3"/>
  <c r="J5" i="3"/>
  <c r="J2" i="3"/>
  <c r="I3" i="3"/>
  <c r="I4" i="3"/>
  <c r="I5" i="3"/>
  <c r="I2" i="3"/>
  <c r="E15" i="2"/>
  <c r="E14" i="2"/>
  <c r="E13" i="2"/>
  <c r="E12" i="2"/>
  <c r="E11" i="2"/>
  <c r="E10" i="2"/>
  <c r="E9" i="2"/>
  <c r="E3" i="2"/>
  <c r="E4" i="2"/>
  <c r="E5" i="2"/>
  <c r="E6" i="2"/>
  <c r="E7" i="2"/>
  <c r="E2" i="2"/>
  <c r="K4" i="3" l="1"/>
  <c r="K5" i="3"/>
  <c r="K2" i="3"/>
  <c r="K3" i="3"/>
</calcChain>
</file>

<file path=xl/sharedStrings.xml><?xml version="1.0" encoding="utf-8"?>
<sst xmlns="http://schemas.openxmlformats.org/spreadsheetml/2006/main" count="285" uniqueCount="160">
  <si>
    <t>Sr no</t>
  </si>
  <si>
    <t xml:space="preserve">Id </t>
  </si>
  <si>
    <t xml:space="preserve">Name </t>
  </si>
  <si>
    <t>Price</t>
  </si>
  <si>
    <t>Stock</t>
  </si>
  <si>
    <t>Investment</t>
  </si>
  <si>
    <t>PC</t>
  </si>
  <si>
    <t xml:space="preserve">Cycle </t>
  </si>
  <si>
    <t>Mobile</t>
  </si>
  <si>
    <t xml:space="preserve">Bag </t>
  </si>
  <si>
    <t>Watch</t>
  </si>
  <si>
    <t>Laptop</t>
  </si>
  <si>
    <t>Total Investment</t>
  </si>
  <si>
    <t>Average Price</t>
  </si>
  <si>
    <t>Max investment</t>
  </si>
  <si>
    <t>Min Investment</t>
  </si>
  <si>
    <t>Count Products</t>
  </si>
  <si>
    <t>Count Products by name</t>
  </si>
  <si>
    <t>3rd Max</t>
  </si>
  <si>
    <t>2th Min</t>
  </si>
  <si>
    <t xml:space="preserve"> </t>
  </si>
  <si>
    <t>Flat No</t>
  </si>
  <si>
    <t>First Name</t>
  </si>
  <si>
    <t>Middle Name</t>
  </si>
  <si>
    <t>Last Name</t>
  </si>
  <si>
    <t>Full Name</t>
  </si>
  <si>
    <t>Mobile No</t>
  </si>
  <si>
    <t>Last 4 Digit</t>
  </si>
  <si>
    <t>Ravi</t>
  </si>
  <si>
    <t>Singh</t>
  </si>
  <si>
    <t>verma</t>
  </si>
  <si>
    <t>amit</t>
  </si>
  <si>
    <t>Sumit</t>
  </si>
  <si>
    <t>deepak</t>
  </si>
  <si>
    <t>Dipu</t>
  </si>
  <si>
    <t>Kapil</t>
  </si>
  <si>
    <t>Kumar</t>
  </si>
  <si>
    <t>Patel</t>
  </si>
  <si>
    <t>first 4</t>
  </si>
  <si>
    <t>total character</t>
  </si>
  <si>
    <t>aman</t>
  </si>
  <si>
    <t>Kapil Kumar Singh</t>
  </si>
  <si>
    <t>Amit Ravi Kumar</t>
  </si>
  <si>
    <t>Sumit Deepak Patel</t>
  </si>
  <si>
    <t>Aman Dipu Verma</t>
  </si>
  <si>
    <t>I</t>
  </si>
  <si>
    <t>II</t>
  </si>
  <si>
    <t>III</t>
  </si>
  <si>
    <t>IV</t>
  </si>
  <si>
    <t>wing</t>
  </si>
  <si>
    <t>A</t>
  </si>
  <si>
    <t>S</t>
  </si>
  <si>
    <t>C</t>
  </si>
  <si>
    <t>Flat no</t>
  </si>
  <si>
    <t>First name</t>
  </si>
  <si>
    <t>Middle name</t>
  </si>
  <si>
    <t>Last name</t>
  </si>
  <si>
    <t>Full name</t>
  </si>
  <si>
    <t>B 45</t>
  </si>
  <si>
    <t>C 65</t>
  </si>
  <si>
    <t>sumit</t>
  </si>
  <si>
    <t>depu</t>
  </si>
  <si>
    <t>patel</t>
  </si>
  <si>
    <t>amiy</t>
  </si>
  <si>
    <t>Sonu</t>
  </si>
  <si>
    <t>date</t>
  </si>
  <si>
    <t>month</t>
  </si>
  <si>
    <t>year</t>
  </si>
  <si>
    <t>Roll no</t>
  </si>
  <si>
    <t>Name</t>
  </si>
  <si>
    <t>Percentage</t>
  </si>
  <si>
    <t>Attendance</t>
  </si>
  <si>
    <t>Pass/Fail</t>
  </si>
  <si>
    <t>Amit</t>
  </si>
  <si>
    <t>Aman</t>
  </si>
  <si>
    <t>Scholarship</t>
  </si>
  <si>
    <t>Gift</t>
  </si>
  <si>
    <t>B</t>
  </si>
  <si>
    <t>admit card</t>
  </si>
  <si>
    <t>P</t>
  </si>
  <si>
    <t>Present Days</t>
  </si>
  <si>
    <t>Absent Days</t>
  </si>
  <si>
    <t>Total Days</t>
  </si>
  <si>
    <t>percentage</t>
  </si>
  <si>
    <t>ID</t>
  </si>
  <si>
    <t>NAME</t>
  </si>
  <si>
    <t>JOINING DATE</t>
  </si>
  <si>
    <t>AMIT</t>
  </si>
  <si>
    <t>TODAY</t>
  </si>
  <si>
    <t>now</t>
  </si>
  <si>
    <t>day</t>
  </si>
  <si>
    <t>YEAR</t>
  </si>
  <si>
    <t>MONTH</t>
  </si>
  <si>
    <t>DOB</t>
  </si>
  <si>
    <t>HOUR</t>
  </si>
  <si>
    <t>MINUTE</t>
  </si>
  <si>
    <t>TIME</t>
  </si>
  <si>
    <t>DAY</t>
  </si>
  <si>
    <t>month diff</t>
  </si>
  <si>
    <t>year difference</t>
  </si>
  <si>
    <t>day if</t>
  </si>
  <si>
    <t>Order ID</t>
  </si>
  <si>
    <t>Salesperson</t>
  </si>
  <si>
    <t>Product</t>
  </si>
  <si>
    <t>Region</t>
  </si>
  <si>
    <t>Month</t>
  </si>
  <si>
    <t>Qty</t>
  </si>
  <si>
    <t>Amount</t>
  </si>
  <si>
    <t>North</t>
  </si>
  <si>
    <t>Jan</t>
  </si>
  <si>
    <t>Priya</t>
  </si>
  <si>
    <t>Mouse</t>
  </si>
  <si>
    <t>South</t>
  </si>
  <si>
    <t>West</t>
  </si>
  <si>
    <t>Feb</t>
  </si>
  <si>
    <t>Rahul</t>
  </si>
  <si>
    <t>Keyboard</t>
  </si>
  <si>
    <t>Mar</t>
  </si>
  <si>
    <t>3. How many orders did Amit receive in January</t>
  </si>
  <si>
    <t xml:space="preserve"> 1. How many Laptop orders were sold?</t>
  </si>
  <si>
    <t>2. How many Laptop orders were sold in North Region?</t>
  </si>
  <si>
    <t>4. How many Mouse orders were sold in March?</t>
  </si>
  <si>
    <t>5. How many orders have Quantity greater than 5?</t>
  </si>
  <si>
    <t>6.How many Laptop orders have Amount greater than ₹80,000?</t>
  </si>
  <si>
    <t>7. Find the total sales where Amount is greater than ₹50,000</t>
  </si>
  <si>
    <t>8. Find the total sales excluding North Region.</t>
  </si>
  <si>
    <t>9. Find the total quantity sold by Priya in South Region during February.</t>
  </si>
  <si>
    <t>10. Find the total sales where Quantity is less than 3.</t>
  </si>
  <si>
    <t>11. Find total sales based on selected Salesperson, Product, Region, and Month.</t>
  </si>
  <si>
    <t>salesperson</t>
  </si>
  <si>
    <t>product</t>
  </si>
  <si>
    <t>region</t>
  </si>
  <si>
    <t>total sales</t>
  </si>
  <si>
    <t>total order</t>
  </si>
  <si>
    <t>total qty</t>
  </si>
  <si>
    <t>All</t>
  </si>
  <si>
    <t>Total revenue</t>
  </si>
  <si>
    <t>Total Order</t>
  </si>
  <si>
    <t>Total Quantity</t>
  </si>
  <si>
    <t xml:space="preserve">ID </t>
  </si>
  <si>
    <t>Department</t>
  </si>
  <si>
    <t>Amiy</t>
  </si>
  <si>
    <t>Piyush</t>
  </si>
  <si>
    <t>Monu</t>
  </si>
  <si>
    <t>HR</t>
  </si>
  <si>
    <t>IT</t>
  </si>
  <si>
    <t>Designing</t>
  </si>
  <si>
    <t>Assisstant</t>
  </si>
  <si>
    <t>SALARY</t>
  </si>
  <si>
    <t>Joining Date</t>
  </si>
  <si>
    <t>30-02-2026</t>
  </si>
  <si>
    <t>Salary</t>
  </si>
  <si>
    <t>COURSE NAME</t>
  </si>
  <si>
    <t>Data Analytics</t>
  </si>
  <si>
    <t>Digital Print</t>
  </si>
  <si>
    <t>Marketing</t>
  </si>
  <si>
    <t>Security</t>
  </si>
  <si>
    <t>Tally</t>
  </si>
  <si>
    <t>FEES</t>
  </si>
  <si>
    <t>COURSE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</si>
</sst>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4" fillId="0" borderId="0" xfId="0" applyFont="1"/>
    <xf numFmtId="0" fontId="1" fillId="6" borderId="0" xfId="0" applyFont="1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7" fillId="0" borderId="0" xfId="0" applyFont="1" applyBorder="1" applyAlignment="1">
      <alignment wrapText="1"/>
    </xf>
    <xf numFmtId="0" fontId="7" fillId="3" borderId="0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0" fillId="2" borderId="0" xfId="0" applyFill="1"/>
    <xf numFmtId="0" fontId="1" fillId="2" borderId="0" xfId="0" applyFont="1" applyFill="1"/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50A7-2540-4F4B-8EB6-839C39351194}">
  <dimension ref="A1:E16"/>
  <sheetViews>
    <sheetView zoomScale="180" zoomScaleNormal="180" workbookViewId="0">
      <selection activeCell="E16" sqref="E16"/>
    </sheetView>
  </sheetViews>
  <sheetFormatPr defaultRowHeight="15" x14ac:dyDescent="0.25"/>
  <cols>
    <col min="5" max="5" width="10.5703125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2">
        <v>1</v>
      </c>
      <c r="B2" s="2" t="s">
        <v>6</v>
      </c>
      <c r="C2" s="2">
        <v>38000</v>
      </c>
      <c r="D2" s="2">
        <v>12</v>
      </c>
      <c r="E2" s="2">
        <f>PRODUCT(C2:D2)</f>
        <v>456000</v>
      </c>
    </row>
    <row r="3" spans="1:5" x14ac:dyDescent="0.25">
      <c r="A3" s="2">
        <v>2</v>
      </c>
      <c r="B3" s="2" t="s">
        <v>7</v>
      </c>
      <c r="C3" s="2">
        <v>7000</v>
      </c>
      <c r="D3" s="2">
        <v>25</v>
      </c>
      <c r="E3" s="2">
        <f t="shared" ref="E3:E7" si="0">PRODUCT(C3:D3)</f>
        <v>175000</v>
      </c>
    </row>
    <row r="4" spans="1:5" x14ac:dyDescent="0.25">
      <c r="A4" s="2">
        <v>3</v>
      </c>
      <c r="B4" s="2" t="s">
        <v>8</v>
      </c>
      <c r="C4" s="2">
        <v>13000</v>
      </c>
      <c r="D4" s="2">
        <v>50</v>
      </c>
      <c r="E4" s="2">
        <f t="shared" si="0"/>
        <v>650000</v>
      </c>
    </row>
    <row r="5" spans="1:5" x14ac:dyDescent="0.25">
      <c r="A5" s="2">
        <v>4</v>
      </c>
      <c r="B5" s="2" t="s">
        <v>11</v>
      </c>
      <c r="C5" s="2">
        <v>45000</v>
      </c>
      <c r="D5" s="2">
        <v>32</v>
      </c>
      <c r="E5" s="2">
        <f t="shared" si="0"/>
        <v>1440000</v>
      </c>
    </row>
    <row r="6" spans="1:5" x14ac:dyDescent="0.25">
      <c r="A6" s="2">
        <v>5</v>
      </c>
      <c r="B6" s="2" t="s">
        <v>9</v>
      </c>
      <c r="C6" s="2">
        <v>560</v>
      </c>
      <c r="D6" s="2">
        <v>90</v>
      </c>
      <c r="E6" s="2">
        <f t="shared" si="0"/>
        <v>50400</v>
      </c>
    </row>
    <row r="7" spans="1:5" x14ac:dyDescent="0.25">
      <c r="A7" s="2">
        <v>6</v>
      </c>
      <c r="B7" s="2" t="s">
        <v>10</v>
      </c>
      <c r="C7" s="2">
        <v>1200</v>
      </c>
      <c r="D7" s="2">
        <v>48</v>
      </c>
      <c r="E7" s="2">
        <f t="shared" si="0"/>
        <v>57600</v>
      </c>
    </row>
    <row r="8" spans="1:5" x14ac:dyDescent="0.25">
      <c r="A8" s="2"/>
      <c r="B8" s="2"/>
      <c r="C8" s="2"/>
      <c r="D8" s="2"/>
      <c r="E8" s="2"/>
    </row>
    <row r="9" spans="1:5" x14ac:dyDescent="0.25">
      <c r="A9" s="19" t="s">
        <v>12</v>
      </c>
      <c r="B9" s="20"/>
      <c r="C9" s="20"/>
      <c r="D9" s="21"/>
      <c r="E9" s="3">
        <f>SUM(E2:E7)</f>
        <v>2829000</v>
      </c>
    </row>
    <row r="10" spans="1:5" x14ac:dyDescent="0.25">
      <c r="A10" s="2"/>
      <c r="B10" s="18" t="s">
        <v>13</v>
      </c>
      <c r="C10" s="18"/>
      <c r="D10" s="18"/>
      <c r="E10" s="3">
        <f>AVERAGE(E2:E7)</f>
        <v>471500</v>
      </c>
    </row>
    <row r="11" spans="1:5" x14ac:dyDescent="0.25">
      <c r="A11" s="2"/>
      <c r="B11" s="18" t="s">
        <v>14</v>
      </c>
      <c r="C11" s="18"/>
      <c r="D11" s="18"/>
      <c r="E11" s="3">
        <f>MAX(E2:E7)</f>
        <v>1440000</v>
      </c>
    </row>
    <row r="12" spans="1:5" x14ac:dyDescent="0.25">
      <c r="A12" s="2"/>
      <c r="B12" s="18" t="s">
        <v>15</v>
      </c>
      <c r="C12" s="18"/>
      <c r="D12" s="18"/>
      <c r="E12" s="3">
        <f>MIN(E2:E7)</f>
        <v>50400</v>
      </c>
    </row>
    <row r="13" spans="1:5" x14ac:dyDescent="0.25">
      <c r="A13" s="2"/>
      <c r="B13" s="18" t="s">
        <v>16</v>
      </c>
      <c r="C13" s="18"/>
      <c r="D13" s="18"/>
      <c r="E13" s="3">
        <f>COUNT(A2:A7)</f>
        <v>6</v>
      </c>
    </row>
    <row r="14" spans="1:5" x14ac:dyDescent="0.25">
      <c r="A14" s="2"/>
      <c r="B14" s="18" t="s">
        <v>17</v>
      </c>
      <c r="C14" s="18"/>
      <c r="D14" s="18"/>
      <c r="E14" s="3">
        <f>COUNTA(B2:B7)</f>
        <v>6</v>
      </c>
    </row>
    <row r="15" spans="1:5" x14ac:dyDescent="0.25">
      <c r="A15" s="2"/>
      <c r="B15" s="18" t="s">
        <v>18</v>
      </c>
      <c r="C15" s="18"/>
      <c r="D15" s="18"/>
      <c r="E15" s="3">
        <f>LARGE(E2:E7,3)</f>
        <v>456000</v>
      </c>
    </row>
    <row r="16" spans="1:5" x14ac:dyDescent="0.25">
      <c r="A16" s="2"/>
      <c r="B16" s="18" t="s">
        <v>19</v>
      </c>
      <c r="C16" s="18"/>
      <c r="D16" s="18"/>
      <c r="E16" s="3"/>
    </row>
  </sheetData>
  <mergeCells count="8">
    <mergeCell ref="B14:D14"/>
    <mergeCell ref="B15:D15"/>
    <mergeCell ref="B16:D16"/>
    <mergeCell ref="A9:D9"/>
    <mergeCell ref="B10:D10"/>
    <mergeCell ref="B11:D11"/>
    <mergeCell ref="B12:D12"/>
    <mergeCell ref="B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91E0-EB01-488E-9D67-A8E269DBD1A9}">
  <dimension ref="A1:K16"/>
  <sheetViews>
    <sheetView zoomScale="180" zoomScaleNormal="180" workbookViewId="0">
      <selection activeCell="B2" sqref="B2"/>
    </sheetView>
  </sheetViews>
  <sheetFormatPr defaultRowHeight="15" x14ac:dyDescent="0.25"/>
  <cols>
    <col min="5" max="5" width="10.5703125" bestFit="1" customWidth="1"/>
    <col min="6" max="6" width="12.7109375" bestFit="1" customWidth="1"/>
    <col min="7" max="7" width="18.140625" bestFit="1" customWidth="1"/>
    <col min="8" max="8" width="17.28515625" bestFit="1" customWidth="1"/>
    <col min="9" max="9" width="11.28515625" bestFit="1" customWidth="1"/>
    <col min="10" max="10" width="10.42578125" bestFit="1" customWidth="1"/>
    <col min="12" max="12" width="14" bestFit="1" customWidth="1"/>
  </cols>
  <sheetData>
    <row r="1" spans="1:11" x14ac:dyDescent="0.25">
      <c r="A1" t="s">
        <v>0</v>
      </c>
      <c r="B1" t="s">
        <v>49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38</v>
      </c>
      <c r="K1" t="s">
        <v>39</v>
      </c>
    </row>
    <row r="2" spans="1:11" x14ac:dyDescent="0.25">
      <c r="A2" t="s">
        <v>45</v>
      </c>
      <c r="B2" t="s">
        <v>50</v>
      </c>
      <c r="C2">
        <v>121</v>
      </c>
      <c r="D2" t="s">
        <v>35</v>
      </c>
      <c r="E2" t="s">
        <v>36</v>
      </c>
      <c r="F2" t="s">
        <v>29</v>
      </c>
      <c r="G2" t="s">
        <v>41</v>
      </c>
      <c r="I2" t="str">
        <f>RIGHT(H2,4)</f>
        <v/>
      </c>
      <c r="J2" t="str">
        <f>LEFT(H2,4)</f>
        <v/>
      </c>
      <c r="K2">
        <f>LEN(G2)</f>
        <v>17</v>
      </c>
    </row>
    <row r="3" spans="1:11" x14ac:dyDescent="0.25">
      <c r="A3" t="s">
        <v>46</v>
      </c>
      <c r="B3" t="s">
        <v>52</v>
      </c>
      <c r="C3">
        <v>564</v>
      </c>
      <c r="D3" t="s">
        <v>31</v>
      </c>
      <c r="E3" t="s">
        <v>28</v>
      </c>
      <c r="F3" t="s">
        <v>36</v>
      </c>
      <c r="G3" t="s">
        <v>42</v>
      </c>
      <c r="H3">
        <v>5648624984</v>
      </c>
      <c r="I3" t="str">
        <f t="shared" ref="I3:I5" si="0">RIGHT(H3,4)</f>
        <v>4984</v>
      </c>
      <c r="J3" t="str">
        <f t="shared" ref="J3:J5" si="1">LEFT(H3,4)</f>
        <v>5648</v>
      </c>
      <c r="K3">
        <f t="shared" ref="K3:K5" si="2">LEN(G3)</f>
        <v>15</v>
      </c>
    </row>
    <row r="4" spans="1:11" x14ac:dyDescent="0.25">
      <c r="A4" t="s">
        <v>47</v>
      </c>
      <c r="B4" t="s">
        <v>51</v>
      </c>
      <c r="C4">
        <v>25</v>
      </c>
      <c r="D4" t="s">
        <v>32</v>
      </c>
      <c r="E4" t="s">
        <v>33</v>
      </c>
      <c r="F4" t="s">
        <v>37</v>
      </c>
      <c r="G4" t="s">
        <v>43</v>
      </c>
      <c r="H4">
        <v>9656569964</v>
      </c>
      <c r="I4" t="str">
        <f t="shared" si="0"/>
        <v>9964</v>
      </c>
      <c r="J4" t="str">
        <f t="shared" si="1"/>
        <v>9656</v>
      </c>
      <c r="K4">
        <f t="shared" si="2"/>
        <v>18</v>
      </c>
    </row>
    <row r="5" spans="1:11" x14ac:dyDescent="0.25">
      <c r="A5" t="s">
        <v>48</v>
      </c>
      <c r="B5" t="s">
        <v>52</v>
      </c>
      <c r="C5">
        <v>561</v>
      </c>
      <c r="D5" t="s">
        <v>40</v>
      </c>
      <c r="E5" t="s">
        <v>34</v>
      </c>
      <c r="F5" t="s">
        <v>30</v>
      </c>
      <c r="G5" t="s">
        <v>44</v>
      </c>
      <c r="H5">
        <v>5625468464</v>
      </c>
      <c r="I5" t="str">
        <f t="shared" si="0"/>
        <v>8464</v>
      </c>
      <c r="J5" t="str">
        <f t="shared" si="1"/>
        <v>5625</v>
      </c>
      <c r="K5">
        <f t="shared" si="2"/>
        <v>15</v>
      </c>
    </row>
    <row r="9" spans="1:11" x14ac:dyDescent="0.25">
      <c r="D9" t="str">
        <f>_xlfn.CONCAT(D2, " ",E2, " ",F2)</f>
        <v>Kapil Kumar Singh</v>
      </c>
    </row>
    <row r="16" spans="1:11" x14ac:dyDescent="0.25">
      <c r="E1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6CBC-B73D-4195-9FE3-FEF25947228F}">
  <dimension ref="A1:E10"/>
  <sheetViews>
    <sheetView topLeftCell="A4" zoomScale="180" zoomScaleNormal="180" workbookViewId="0">
      <selection activeCell="D10" sqref="D10"/>
    </sheetView>
  </sheetViews>
  <sheetFormatPr defaultRowHeight="15" x14ac:dyDescent="0.25"/>
  <cols>
    <col min="2" max="2" width="10.42578125" bestFit="1" customWidth="1"/>
    <col min="3" max="3" width="12.42578125" bestFit="1" customWidth="1"/>
    <col min="4" max="4" width="10" bestFit="1" customWidth="1"/>
    <col min="5" max="5" width="9.7109375" bestFit="1" customWidth="1"/>
  </cols>
  <sheetData>
    <row r="1" spans="1:5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</row>
    <row r="2" spans="1:5" x14ac:dyDescent="0.25">
      <c r="A2" t="s">
        <v>58</v>
      </c>
      <c r="B2" t="s">
        <v>60</v>
      </c>
      <c r="C2" t="s">
        <v>61</v>
      </c>
      <c r="D2" t="s">
        <v>62</v>
      </c>
    </row>
    <row r="3" spans="1:5" x14ac:dyDescent="0.25">
      <c r="A3" t="s">
        <v>59</v>
      </c>
      <c r="B3" t="s">
        <v>63</v>
      </c>
      <c r="C3" t="s">
        <v>64</v>
      </c>
      <c r="D3" t="s">
        <v>30</v>
      </c>
    </row>
    <row r="8" spans="1:5" x14ac:dyDescent="0.25">
      <c r="B8" t="s">
        <v>65</v>
      </c>
      <c r="C8" t="s">
        <v>67</v>
      </c>
      <c r="D8" t="s">
        <v>66</v>
      </c>
      <c r="E8" t="s">
        <v>65</v>
      </c>
    </row>
    <row r="9" spans="1:5" x14ac:dyDescent="0.25">
      <c r="B9" s="4">
        <v>45443</v>
      </c>
      <c r="C9">
        <f ca="1">DATEDIF(B9,TODAY(),"Y")</f>
        <v>2</v>
      </c>
      <c r="D9">
        <f ca="1">DATEDIF(B9,TODAY(),"YM")</f>
        <v>2</v>
      </c>
      <c r="E9">
        <f ca="1">DATEDIF(B9,TODAY(),"MD")</f>
        <v>6</v>
      </c>
    </row>
    <row r="10" spans="1:5" x14ac:dyDescent="0.25">
      <c r="B10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67CF-F570-4306-AC14-E9D5AF443FE5}">
  <dimension ref="A2:H13"/>
  <sheetViews>
    <sheetView zoomScale="170" zoomScaleNormal="170" workbookViewId="0">
      <selection activeCell="H3" sqref="H3"/>
    </sheetView>
  </sheetViews>
  <sheetFormatPr defaultRowHeight="15" x14ac:dyDescent="0.25"/>
  <cols>
    <col min="3" max="3" width="10.7109375" bestFit="1" customWidth="1"/>
    <col min="4" max="4" width="10.85546875" bestFit="1" customWidth="1"/>
    <col min="6" max="6" width="11.5703125" bestFit="1" customWidth="1"/>
  </cols>
  <sheetData>
    <row r="2" spans="1:8" x14ac:dyDescent="0.25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75</v>
      </c>
      <c r="G2" t="s">
        <v>76</v>
      </c>
      <c r="H2" t="s">
        <v>78</v>
      </c>
    </row>
    <row r="3" spans="1:8" x14ac:dyDescent="0.25">
      <c r="A3">
        <v>1</v>
      </c>
      <c r="B3" t="s">
        <v>73</v>
      </c>
      <c r="C3">
        <v>45</v>
      </c>
      <c r="D3">
        <v>80</v>
      </c>
      <c r="E3" t="str">
        <f>IF(C3&gt;35,"Pass","Fail")</f>
        <v>Pass</v>
      </c>
      <c r="F3" t="b">
        <f>AND(C3&gt;80,D3&gt;85)</f>
        <v>0</v>
      </c>
      <c r="G3" t="b">
        <f>OR(C3&gt;60,D3&gt;75)</f>
        <v>1</v>
      </c>
      <c r="H3" t="str">
        <f>IF(AND(C3&gt;50,D3&gt;60),"yes","no")</f>
        <v>no</v>
      </c>
    </row>
    <row r="4" spans="1:8" x14ac:dyDescent="0.25">
      <c r="A4">
        <v>2</v>
      </c>
      <c r="B4" t="s">
        <v>32</v>
      </c>
      <c r="C4">
        <v>32</v>
      </c>
      <c r="D4">
        <v>55</v>
      </c>
      <c r="E4" t="str">
        <f t="shared" ref="E4:E5" si="0">IF(C4&gt;35,"Pass","Fail")</f>
        <v>Fail</v>
      </c>
      <c r="F4" t="b">
        <f t="shared" ref="F4:F5" si="1">AND(C4&gt;80,D4&gt;85)</f>
        <v>0</v>
      </c>
      <c r="G4" t="b">
        <f t="shared" ref="G4:G5" si="2">OR(C4&gt;60,D4&gt;75)</f>
        <v>0</v>
      </c>
      <c r="H4" t="str">
        <f t="shared" ref="H4:H5" si="3">IF(AND(C4&gt;50,D4&gt;60),"yes","no")</f>
        <v>no</v>
      </c>
    </row>
    <row r="5" spans="1:8" x14ac:dyDescent="0.25">
      <c r="A5">
        <v>3</v>
      </c>
      <c r="B5" t="s">
        <v>74</v>
      </c>
      <c r="C5">
        <v>82</v>
      </c>
      <c r="D5">
        <v>95</v>
      </c>
      <c r="E5" t="str">
        <f t="shared" si="0"/>
        <v>Pass</v>
      </c>
      <c r="F5" t="b">
        <f t="shared" si="1"/>
        <v>1</v>
      </c>
      <c r="G5" t="b">
        <f t="shared" si="2"/>
        <v>1</v>
      </c>
      <c r="H5" t="str">
        <f t="shared" si="3"/>
        <v>yes</v>
      </c>
    </row>
    <row r="9" spans="1:8" x14ac:dyDescent="0.25">
      <c r="B9" t="s">
        <v>50</v>
      </c>
      <c r="C9" t="s">
        <v>77</v>
      </c>
      <c r="D9" t="s">
        <v>52</v>
      </c>
    </row>
    <row r="10" spans="1:8" x14ac:dyDescent="0.25">
      <c r="B10">
        <v>10</v>
      </c>
      <c r="C10">
        <v>5</v>
      </c>
      <c r="D10">
        <f t="shared" ref="D10:D12" si="4" xml:space="preserve"> IFERROR(B10/C10,"not avvailable")</f>
        <v>2</v>
      </c>
    </row>
    <row r="11" spans="1:8" x14ac:dyDescent="0.25">
      <c r="B11">
        <v>15</v>
      </c>
      <c r="C11">
        <v>3</v>
      </c>
      <c r="D11">
        <f t="shared" si="4"/>
        <v>5</v>
      </c>
    </row>
    <row r="12" spans="1:8" x14ac:dyDescent="0.25">
      <c r="B12">
        <v>25</v>
      </c>
      <c r="C12">
        <v>0</v>
      </c>
      <c r="D12" t="str">
        <f t="shared" si="4"/>
        <v>not avvailable</v>
      </c>
    </row>
    <row r="13" spans="1:8" x14ac:dyDescent="0.25">
      <c r="B13">
        <v>10</v>
      </c>
      <c r="C13">
        <v>0</v>
      </c>
      <c r="D13" t="str">
        <f xml:space="preserve"> IFERROR(B13/C13,"not avvailable")</f>
        <v>not avvailable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FF2-C092-4727-BD38-0EE1C8A2B0BC}">
  <dimension ref="A3:H6"/>
  <sheetViews>
    <sheetView zoomScale="160" zoomScaleNormal="160" workbookViewId="0">
      <selection activeCell="I6" sqref="I6"/>
    </sheetView>
  </sheetViews>
  <sheetFormatPr defaultRowHeight="15" x14ac:dyDescent="0.25"/>
  <cols>
    <col min="2" max="2" width="10.85546875" bestFit="1" customWidth="1"/>
    <col min="3" max="4" width="10.7109375" bestFit="1" customWidth="1"/>
    <col min="5" max="5" width="12.28515625" bestFit="1" customWidth="1"/>
    <col min="6" max="6" width="11.7109375" bestFit="1" customWidth="1"/>
    <col min="7" max="7" width="10.7109375" bestFit="1" customWidth="1"/>
  </cols>
  <sheetData>
    <row r="3" spans="1:8" x14ac:dyDescent="0.25">
      <c r="A3" t="s">
        <v>69</v>
      </c>
      <c r="B3" s="4">
        <v>46235</v>
      </c>
      <c r="C3" s="4">
        <v>46236</v>
      </c>
      <c r="D3" s="4">
        <v>46237</v>
      </c>
      <c r="E3" t="s">
        <v>80</v>
      </c>
      <c r="F3" t="s">
        <v>81</v>
      </c>
      <c r="G3" t="s">
        <v>82</v>
      </c>
      <c r="H3" t="s">
        <v>83</v>
      </c>
    </row>
    <row r="4" spans="1:8" x14ac:dyDescent="0.25">
      <c r="A4" t="s">
        <v>31</v>
      </c>
      <c r="B4" t="s">
        <v>79</v>
      </c>
      <c r="C4" t="s">
        <v>79</v>
      </c>
      <c r="D4" t="s">
        <v>79</v>
      </c>
      <c r="E4">
        <f>COUNTIF(B4:D4,"P")</f>
        <v>3</v>
      </c>
      <c r="F4">
        <f>COUNTIF(B4:D4,"A")</f>
        <v>0</v>
      </c>
      <c r="G4">
        <f>COUNTA(B4:D4)</f>
        <v>3</v>
      </c>
      <c r="H4">
        <f>(E4/G4)*100</f>
        <v>100</v>
      </c>
    </row>
    <row r="5" spans="1:8" x14ac:dyDescent="0.25">
      <c r="A5" t="s">
        <v>60</v>
      </c>
      <c r="B5" t="s">
        <v>50</v>
      </c>
      <c r="C5" t="s">
        <v>79</v>
      </c>
      <c r="D5" t="s">
        <v>79</v>
      </c>
      <c r="E5">
        <f>COUNTIF(B5:D5,"P")</f>
        <v>2</v>
      </c>
      <c r="F5">
        <f>COUNTIF(B5:D5,"A")</f>
        <v>1</v>
      </c>
      <c r="G5">
        <f t="shared" ref="G5:G6" si="0">COUNTA(B5:D5)</f>
        <v>3</v>
      </c>
      <c r="H5">
        <f t="shared" ref="H5:H6" si="1">(E5/G5)*100</f>
        <v>66.666666666666657</v>
      </c>
    </row>
    <row r="6" spans="1:8" x14ac:dyDescent="0.25">
      <c r="A6" t="s">
        <v>40</v>
      </c>
      <c r="B6" t="s">
        <v>79</v>
      </c>
      <c r="C6" t="s">
        <v>79</v>
      </c>
      <c r="D6" t="s">
        <v>50</v>
      </c>
      <c r="E6">
        <f>COUNTIF(B6:D6,"P")</f>
        <v>2</v>
      </c>
      <c r="F6">
        <f>COUNTIF(B6:D6,"A")</f>
        <v>1</v>
      </c>
      <c r="G6">
        <f t="shared" si="0"/>
        <v>3</v>
      </c>
      <c r="H6">
        <f t="shared" si="1"/>
        <v>66.666666666666657</v>
      </c>
    </row>
  </sheetData>
  <conditionalFormatting sqref="B4:D6">
    <cfRule type="cellIs" dxfId="0" priority="1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DF8D-C7AA-43BC-90E0-66A3C72E111F}">
  <dimension ref="A1:O8"/>
  <sheetViews>
    <sheetView zoomScale="120" zoomScaleNormal="120" workbookViewId="0">
      <selection activeCell="E8" sqref="E8"/>
    </sheetView>
  </sheetViews>
  <sheetFormatPr defaultRowHeight="15" x14ac:dyDescent="0.25"/>
  <cols>
    <col min="3" max="3" width="13.42578125" bestFit="1" customWidth="1"/>
    <col min="4" max="4" width="14.140625" bestFit="1" customWidth="1"/>
    <col min="5" max="6" width="13.42578125" customWidth="1"/>
    <col min="7" max="7" width="11" bestFit="1" customWidth="1"/>
    <col min="8" max="8" width="16.5703125" bestFit="1" customWidth="1"/>
    <col min="12" max="12" width="11" bestFit="1" customWidth="1"/>
  </cols>
  <sheetData>
    <row r="1" spans="1:15" x14ac:dyDescent="0.25">
      <c r="A1" t="s">
        <v>84</v>
      </c>
      <c r="B1" t="s">
        <v>85</v>
      </c>
      <c r="C1" t="s">
        <v>86</v>
      </c>
      <c r="D1" t="s">
        <v>91</v>
      </c>
      <c r="E1" t="s">
        <v>92</v>
      </c>
      <c r="F1" t="s">
        <v>97</v>
      </c>
      <c r="G1" t="s">
        <v>88</v>
      </c>
      <c r="H1" t="s">
        <v>89</v>
      </c>
      <c r="I1" t="s">
        <v>90</v>
      </c>
      <c r="J1" t="s">
        <v>92</v>
      </c>
      <c r="K1" t="s">
        <v>91</v>
      </c>
      <c r="L1" t="s">
        <v>93</v>
      </c>
      <c r="M1" t="s">
        <v>94</v>
      </c>
      <c r="N1" t="s">
        <v>95</v>
      </c>
      <c r="O1" t="s">
        <v>96</v>
      </c>
    </row>
    <row r="2" spans="1:15" x14ac:dyDescent="0.25">
      <c r="A2">
        <v>101</v>
      </c>
      <c r="B2" t="s">
        <v>87</v>
      </c>
      <c r="C2" s="4">
        <v>45102</v>
      </c>
      <c r="D2">
        <f>YEAR(C2)</f>
        <v>2023</v>
      </c>
      <c r="E2">
        <f>MONTH(C2)</f>
        <v>6</v>
      </c>
      <c r="F2">
        <f>DAY(C2)</f>
        <v>25</v>
      </c>
      <c r="G2" s="4">
        <f ca="1">TODAY()</f>
        <v>46240</v>
      </c>
      <c r="H2" s="5">
        <f ca="1">NOW()</f>
        <v>46240.397545486114</v>
      </c>
      <c r="I2">
        <v>2</v>
      </c>
      <c r="J2">
        <v>11</v>
      </c>
      <c r="K2">
        <v>2001</v>
      </c>
      <c r="L2" s="4">
        <f>DATE(K2,J2,I2)</f>
        <v>37197</v>
      </c>
      <c r="M2">
        <v>20</v>
      </c>
      <c r="N2">
        <v>45</v>
      </c>
      <c r="O2" s="6">
        <f>TIME(M2,N2,0)</f>
        <v>0.86458333333333337</v>
      </c>
    </row>
    <row r="7" spans="1:15" x14ac:dyDescent="0.25">
      <c r="C7" t="s">
        <v>99</v>
      </c>
      <c r="D7" t="s">
        <v>99</v>
      </c>
      <c r="E7" t="s">
        <v>98</v>
      </c>
      <c r="F7" t="s">
        <v>100</v>
      </c>
    </row>
    <row r="8" spans="1:15" x14ac:dyDescent="0.25">
      <c r="C8">
        <f ca="1">DATEDIF(C2,G2,"Y")</f>
        <v>3</v>
      </c>
      <c r="D8">
        <f ca="1">DATEDIF(C2,TODAY(),"M")</f>
        <v>37</v>
      </c>
      <c r="E8">
        <f ca="1">DATEDIF(C2,TODAY(),"YM")</f>
        <v>1</v>
      </c>
      <c r="F8">
        <f ca="1">DATEDIF(C2,TODAY(),"MD")</f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D6C0-E5F5-4620-8496-A205D0D7E3AE}">
  <dimension ref="A1:P28"/>
  <sheetViews>
    <sheetView topLeftCell="A7" zoomScale="130" zoomScaleNormal="130" workbookViewId="0">
      <selection activeCell="C26" sqref="C26"/>
    </sheetView>
  </sheetViews>
  <sheetFormatPr defaultRowHeight="15" x14ac:dyDescent="0.25"/>
  <cols>
    <col min="7" max="7" width="20.85546875" customWidth="1"/>
  </cols>
  <sheetData>
    <row r="1" spans="1:16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</row>
    <row r="2" spans="1:16" x14ac:dyDescent="0.25">
      <c r="A2">
        <v>1001</v>
      </c>
      <c r="B2" t="s">
        <v>73</v>
      </c>
      <c r="C2" t="s">
        <v>11</v>
      </c>
      <c r="D2" t="s">
        <v>108</v>
      </c>
      <c r="E2" t="s">
        <v>109</v>
      </c>
      <c r="F2">
        <v>2</v>
      </c>
      <c r="G2">
        <v>100000</v>
      </c>
    </row>
    <row r="3" spans="1:16" x14ac:dyDescent="0.25">
      <c r="A3">
        <v>1002</v>
      </c>
      <c r="B3" t="s">
        <v>110</v>
      </c>
      <c r="C3" t="s">
        <v>111</v>
      </c>
      <c r="D3" t="s">
        <v>112</v>
      </c>
      <c r="E3" t="s">
        <v>109</v>
      </c>
      <c r="F3">
        <v>10</v>
      </c>
      <c r="G3">
        <v>10000</v>
      </c>
    </row>
    <row r="4" spans="1:16" x14ac:dyDescent="0.25">
      <c r="A4">
        <v>1003</v>
      </c>
      <c r="B4" t="s">
        <v>73</v>
      </c>
      <c r="C4" t="s">
        <v>11</v>
      </c>
      <c r="D4" t="s">
        <v>113</v>
      </c>
      <c r="E4" t="s">
        <v>114</v>
      </c>
      <c r="F4">
        <v>1</v>
      </c>
      <c r="G4">
        <v>50000</v>
      </c>
    </row>
    <row r="5" spans="1:16" x14ac:dyDescent="0.25">
      <c r="A5">
        <v>1004</v>
      </c>
      <c r="B5" t="s">
        <v>115</v>
      </c>
      <c r="C5" t="s">
        <v>116</v>
      </c>
      <c r="D5" t="s">
        <v>108</v>
      </c>
      <c r="E5" t="s">
        <v>109</v>
      </c>
      <c r="F5">
        <v>5</v>
      </c>
      <c r="G5">
        <v>15000</v>
      </c>
    </row>
    <row r="6" spans="1:16" x14ac:dyDescent="0.25">
      <c r="A6">
        <v>1005</v>
      </c>
      <c r="B6" t="s">
        <v>110</v>
      </c>
      <c r="C6" t="s">
        <v>11</v>
      </c>
      <c r="D6" t="s">
        <v>112</v>
      </c>
      <c r="E6" t="s">
        <v>114</v>
      </c>
      <c r="F6">
        <v>3</v>
      </c>
      <c r="G6">
        <v>150000</v>
      </c>
    </row>
    <row r="7" spans="1:16" x14ac:dyDescent="0.25">
      <c r="A7">
        <v>1006</v>
      </c>
      <c r="B7" t="s">
        <v>73</v>
      </c>
      <c r="C7" t="s">
        <v>111</v>
      </c>
      <c r="D7" t="s">
        <v>108</v>
      </c>
      <c r="E7" t="s">
        <v>117</v>
      </c>
      <c r="F7">
        <v>8</v>
      </c>
      <c r="G7">
        <v>8000</v>
      </c>
    </row>
    <row r="8" spans="1:16" x14ac:dyDescent="0.25">
      <c r="A8">
        <v>1007</v>
      </c>
      <c r="B8" t="s">
        <v>115</v>
      </c>
      <c r="C8" t="s">
        <v>11</v>
      </c>
      <c r="D8" t="s">
        <v>113</v>
      </c>
      <c r="E8" t="s">
        <v>114</v>
      </c>
      <c r="F8">
        <v>2</v>
      </c>
      <c r="G8">
        <v>100000</v>
      </c>
      <c r="J8" s="12" t="s">
        <v>126</v>
      </c>
      <c r="K8" s="13"/>
      <c r="L8" s="13"/>
      <c r="M8" s="13"/>
      <c r="N8" s="13"/>
      <c r="O8" s="13"/>
      <c r="P8" s="13"/>
    </row>
    <row r="9" spans="1:16" x14ac:dyDescent="0.25">
      <c r="A9">
        <v>1008</v>
      </c>
      <c r="B9" t="s">
        <v>73</v>
      </c>
      <c r="C9" t="s">
        <v>116</v>
      </c>
      <c r="D9" t="s">
        <v>112</v>
      </c>
      <c r="E9" t="s">
        <v>109</v>
      </c>
      <c r="F9">
        <v>4</v>
      </c>
      <c r="G9">
        <v>12000</v>
      </c>
      <c r="J9">
        <f>SUMIFS(F2:F11,B2:B11,"priya",D2:D11,"south",E2:E11,"feb")</f>
        <v>3</v>
      </c>
    </row>
    <row r="10" spans="1:16" x14ac:dyDescent="0.25">
      <c r="A10">
        <v>1009</v>
      </c>
      <c r="B10" t="s">
        <v>110</v>
      </c>
      <c r="C10" t="s">
        <v>111</v>
      </c>
      <c r="D10" t="s">
        <v>108</v>
      </c>
      <c r="E10" t="s">
        <v>117</v>
      </c>
      <c r="F10">
        <v>6</v>
      </c>
      <c r="G10">
        <v>6000</v>
      </c>
      <c r="J10" s="12" t="s">
        <v>127</v>
      </c>
      <c r="K10" s="13"/>
      <c r="L10" s="13"/>
      <c r="M10" s="13"/>
      <c r="N10" s="13"/>
      <c r="O10" s="13"/>
    </row>
    <row r="11" spans="1:16" x14ac:dyDescent="0.25">
      <c r="A11">
        <v>1010</v>
      </c>
      <c r="B11" t="s">
        <v>115</v>
      </c>
      <c r="C11" t="s">
        <v>11</v>
      </c>
      <c r="D11" t="s">
        <v>108</v>
      </c>
      <c r="E11" t="s">
        <v>117</v>
      </c>
      <c r="F11">
        <v>1</v>
      </c>
      <c r="G11">
        <v>50000</v>
      </c>
      <c r="J11">
        <f>SUMIF(F2:F11,"&gt;3",G2:G11)</f>
        <v>51000</v>
      </c>
    </row>
    <row r="12" spans="1:16" x14ac:dyDescent="0.25">
      <c r="J12" s="7"/>
    </row>
    <row r="15" spans="1:16" x14ac:dyDescent="0.25">
      <c r="H15" s="12" t="s">
        <v>121</v>
      </c>
      <c r="I15" s="13"/>
      <c r="J15" s="13"/>
      <c r="K15" s="13"/>
      <c r="L15" s="13"/>
    </row>
    <row r="16" spans="1:16" x14ac:dyDescent="0.25">
      <c r="A16" s="10" t="s">
        <v>119</v>
      </c>
      <c r="B16" s="11"/>
      <c r="C16" s="11"/>
      <c r="D16" s="11"/>
      <c r="H16">
        <f>SUMIFS(F2:F11,C2:C11,"mouse")</f>
        <v>24</v>
      </c>
    </row>
    <row r="17" spans="1:14" x14ac:dyDescent="0.25">
      <c r="A17">
        <f>SUMIFS(F2:F11,C2:C11,"laptop")</f>
        <v>9</v>
      </c>
      <c r="H17" s="13" t="s">
        <v>122</v>
      </c>
      <c r="I17" s="13"/>
      <c r="J17" s="13"/>
      <c r="K17" s="13"/>
      <c r="L17" s="13"/>
    </row>
    <row r="18" spans="1:14" x14ac:dyDescent="0.25">
      <c r="H18">
        <f>COUNTIF(F2:F11,"&gt;5")</f>
        <v>3</v>
      </c>
    </row>
    <row r="19" spans="1:14" x14ac:dyDescent="0.25">
      <c r="A19" s="10" t="s">
        <v>120</v>
      </c>
      <c r="B19" s="11"/>
      <c r="C19" s="11"/>
      <c r="D19" s="11"/>
      <c r="E19" s="11"/>
      <c r="F19" s="11"/>
      <c r="H19" s="12" t="s">
        <v>123</v>
      </c>
      <c r="I19" s="13"/>
      <c r="J19" s="13"/>
      <c r="K19" s="13"/>
      <c r="L19" s="13"/>
      <c r="M19" s="13"/>
      <c r="N19" s="13"/>
    </row>
    <row r="20" spans="1:14" x14ac:dyDescent="0.25">
      <c r="A20">
        <f>SUMIFS(F2:F11,C2:C11,"laptop",D2:D11,"north")</f>
        <v>3</v>
      </c>
      <c r="B20">
        <f>COUNTIFS(C2:C11,"Laptop",D2:D11,"North")</f>
        <v>2</v>
      </c>
      <c r="H20">
        <f>COUNTIFS(C2:C11,"laptop",G2:G11,"&gt;80000")</f>
        <v>3</v>
      </c>
    </row>
    <row r="21" spans="1:14" x14ac:dyDescent="0.25">
      <c r="A21" s="10" t="s">
        <v>118</v>
      </c>
      <c r="B21" s="11"/>
      <c r="C21" s="11"/>
      <c r="D21" s="11"/>
      <c r="E21" s="11"/>
      <c r="H21" s="12" t="s">
        <v>124</v>
      </c>
      <c r="I21" s="13"/>
      <c r="J21" s="13"/>
      <c r="K21" s="13"/>
      <c r="L21" s="13"/>
      <c r="M21" s="13"/>
    </row>
    <row r="22" spans="1:14" x14ac:dyDescent="0.25">
      <c r="A22">
        <f>COUNTIFS(B2:B11,"amit",E2:E11,"jan")</f>
        <v>2</v>
      </c>
      <c r="H22">
        <f>SUMIF(G2:G11,"&gt;50000")</f>
        <v>350000</v>
      </c>
    </row>
    <row r="23" spans="1:14" x14ac:dyDescent="0.25">
      <c r="A23" s="14" t="s">
        <v>128</v>
      </c>
      <c r="B23" s="15"/>
      <c r="C23" s="15"/>
      <c r="D23" s="15"/>
      <c r="E23" s="15"/>
      <c r="F23" s="15"/>
      <c r="G23" s="15"/>
      <c r="H23" s="12" t="s">
        <v>125</v>
      </c>
      <c r="I23" s="13"/>
      <c r="J23" s="13"/>
      <c r="K23" s="13"/>
      <c r="L23" s="13"/>
    </row>
    <row r="24" spans="1:14" x14ac:dyDescent="0.25">
      <c r="A24" s="8" t="s">
        <v>129</v>
      </c>
      <c r="B24" s="9"/>
      <c r="C24" s="9" t="s">
        <v>130</v>
      </c>
      <c r="D24" s="9" t="s">
        <v>131</v>
      </c>
      <c r="E24" s="9" t="s">
        <v>66</v>
      </c>
      <c r="H24" s="7"/>
    </row>
    <row r="25" spans="1:14" x14ac:dyDescent="0.25">
      <c r="A25" s="17" t="s">
        <v>110</v>
      </c>
      <c r="B25" s="17"/>
      <c r="C25" s="17" t="s">
        <v>111</v>
      </c>
      <c r="D25" s="17" t="s">
        <v>112</v>
      </c>
      <c r="E25" s="17" t="s">
        <v>109</v>
      </c>
      <c r="H25">
        <f>SUMIF(D2:D11,"&lt;&gt;north",G2:G11)</f>
        <v>322000</v>
      </c>
    </row>
    <row r="26" spans="1:14" x14ac:dyDescent="0.25">
      <c r="A26" s="8" t="s">
        <v>132</v>
      </c>
      <c r="B26" s="9"/>
      <c r="C26" s="16">
        <f>SUMIFS(G2:G11,B2:B11,A25,C2:C11,C25,D2:D11,D25,E2:E11,E25)</f>
        <v>10000</v>
      </c>
    </row>
    <row r="27" spans="1:14" x14ac:dyDescent="0.25">
      <c r="A27" s="9" t="s">
        <v>134</v>
      </c>
      <c r="B27" s="9"/>
      <c r="C27">
        <f>SUMIFS(F2:F11,B2:B11,A25,C2:C11,C25,D2:D11,D25,E2:E11,E25)</f>
        <v>10</v>
      </c>
    </row>
    <row r="28" spans="1:14" x14ac:dyDescent="0.25">
      <c r="A28" s="9" t="s">
        <v>133</v>
      </c>
      <c r="C28">
        <f>COUNTIFS(B2:B11,A25,C2:C11,C25,D2:D11,D25,E2:E11,E25)</f>
        <v>1</v>
      </c>
    </row>
  </sheetData>
  <dataValidations count="4">
    <dataValidation type="list" allowBlank="1" showInputMessage="1" showErrorMessage="1" sqref="A25" xr:uid="{B695B88C-2625-492F-A39B-9A7F972E9B48}">
      <formula1>$B$2:$B$11</formula1>
    </dataValidation>
    <dataValidation type="list" allowBlank="1" showInputMessage="1" showErrorMessage="1" sqref="C25" xr:uid="{2D959D60-5B95-4E21-B181-78F46874FF17}">
      <formula1>$C$2:$C$11</formula1>
    </dataValidation>
    <dataValidation type="list" allowBlank="1" showInputMessage="1" showErrorMessage="1" sqref="D25" xr:uid="{3C9B52F4-51D4-49DC-A8EC-640612106F0C}">
      <formula1>$D$2:$D$11</formula1>
    </dataValidation>
    <dataValidation type="list" allowBlank="1" showInputMessage="1" showErrorMessage="1" sqref="E25" xr:uid="{319DA2C1-FEC3-4273-A5C8-F225B69E2081}">
      <formula1>$E$2:$E$11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116F-73D9-4952-9E53-16F0305539D6}">
  <dimension ref="A1:H21"/>
  <sheetViews>
    <sheetView topLeftCell="A5" zoomScale="170" zoomScaleNormal="170" workbookViewId="0">
      <selection activeCell="E21" sqref="E21"/>
    </sheetView>
  </sheetViews>
  <sheetFormatPr defaultRowHeight="15" x14ac:dyDescent="0.25"/>
  <cols>
    <col min="4" max="4" width="13.42578125" bestFit="1" customWidth="1"/>
    <col min="5" max="5" width="14" customWidth="1"/>
  </cols>
  <sheetData>
    <row r="1" spans="1:8" ht="27" thickBot="1" x14ac:dyDescent="0.3">
      <c r="A1" s="22" t="s">
        <v>101</v>
      </c>
      <c r="B1" s="22" t="s">
        <v>102</v>
      </c>
      <c r="C1" s="22" t="s">
        <v>103</v>
      </c>
      <c r="D1" s="22" t="s">
        <v>104</v>
      </c>
      <c r="E1" s="22" t="s">
        <v>105</v>
      </c>
      <c r="F1" s="23" t="s">
        <v>106</v>
      </c>
      <c r="G1" s="23" t="s">
        <v>107</v>
      </c>
      <c r="H1" s="24"/>
    </row>
    <row r="2" spans="1:8" ht="15.75" thickBot="1" x14ac:dyDescent="0.3">
      <c r="A2" s="22" t="s">
        <v>135</v>
      </c>
      <c r="B2" s="22" t="s">
        <v>135</v>
      </c>
      <c r="C2" s="22" t="s">
        <v>135</v>
      </c>
      <c r="D2" s="22" t="s">
        <v>135</v>
      </c>
      <c r="E2" s="22" t="s">
        <v>135</v>
      </c>
      <c r="F2" s="22" t="s">
        <v>135</v>
      </c>
      <c r="G2" s="22" t="s">
        <v>135</v>
      </c>
      <c r="H2" s="24"/>
    </row>
    <row r="3" spans="1:8" ht="15.75" thickBot="1" x14ac:dyDescent="0.3">
      <c r="A3" s="25">
        <v>1001</v>
      </c>
      <c r="B3" s="24" t="s">
        <v>73</v>
      </c>
      <c r="C3" s="24" t="s">
        <v>11</v>
      </c>
      <c r="D3" s="24" t="s">
        <v>108</v>
      </c>
      <c r="E3" s="24" t="s">
        <v>109</v>
      </c>
      <c r="F3" s="25">
        <v>2</v>
      </c>
      <c r="G3" s="25">
        <v>100000</v>
      </c>
      <c r="H3" s="24"/>
    </row>
    <row r="4" spans="1:8" ht="15.75" thickBot="1" x14ac:dyDescent="0.3">
      <c r="A4" s="25">
        <v>1002</v>
      </c>
      <c r="B4" s="24" t="s">
        <v>110</v>
      </c>
      <c r="C4" s="24" t="s">
        <v>111</v>
      </c>
      <c r="D4" s="24" t="s">
        <v>112</v>
      </c>
      <c r="E4" s="24" t="s">
        <v>109</v>
      </c>
      <c r="F4" s="25">
        <v>10</v>
      </c>
      <c r="G4" s="25">
        <v>10000</v>
      </c>
      <c r="H4" s="24"/>
    </row>
    <row r="5" spans="1:8" ht="15.75" thickBot="1" x14ac:dyDescent="0.3">
      <c r="A5" s="25">
        <v>1003</v>
      </c>
      <c r="B5" s="24" t="s">
        <v>73</v>
      </c>
      <c r="C5" s="24" t="s">
        <v>11</v>
      </c>
      <c r="D5" s="24" t="s">
        <v>113</v>
      </c>
      <c r="E5" s="24" t="s">
        <v>114</v>
      </c>
      <c r="F5" s="25">
        <v>1</v>
      </c>
      <c r="G5" s="25">
        <v>50000</v>
      </c>
      <c r="H5" s="24"/>
    </row>
    <row r="6" spans="1:8" ht="15.75" thickBot="1" x14ac:dyDescent="0.3">
      <c r="A6" s="25">
        <v>1004</v>
      </c>
      <c r="B6" s="24" t="s">
        <v>115</v>
      </c>
      <c r="C6" s="24" t="s">
        <v>116</v>
      </c>
      <c r="D6" s="24" t="s">
        <v>108</v>
      </c>
      <c r="E6" s="24" t="s">
        <v>109</v>
      </c>
      <c r="F6" s="25">
        <v>5</v>
      </c>
      <c r="G6" s="25">
        <v>15000</v>
      </c>
      <c r="H6" s="24"/>
    </row>
    <row r="7" spans="1:8" ht="15.75" thickBot="1" x14ac:dyDescent="0.3">
      <c r="A7" s="25">
        <v>1005</v>
      </c>
      <c r="B7" s="24" t="s">
        <v>110</v>
      </c>
      <c r="C7" s="24" t="s">
        <v>11</v>
      </c>
      <c r="D7" s="24" t="s">
        <v>112</v>
      </c>
      <c r="E7" s="24" t="s">
        <v>114</v>
      </c>
      <c r="F7" s="25">
        <v>3</v>
      </c>
      <c r="G7" s="25">
        <v>150000</v>
      </c>
      <c r="H7" s="24"/>
    </row>
    <row r="8" spans="1:8" ht="15.75" thickBot="1" x14ac:dyDescent="0.3">
      <c r="A8" s="25">
        <v>1006</v>
      </c>
      <c r="B8" s="24" t="s">
        <v>73</v>
      </c>
      <c r="C8" s="24" t="s">
        <v>111</v>
      </c>
      <c r="D8" s="24" t="s">
        <v>108</v>
      </c>
      <c r="E8" s="24" t="s">
        <v>117</v>
      </c>
      <c r="F8" s="25">
        <v>8</v>
      </c>
      <c r="G8" s="25">
        <v>8000</v>
      </c>
      <c r="H8" s="24"/>
    </row>
    <row r="9" spans="1:8" ht="15.75" thickBot="1" x14ac:dyDescent="0.3">
      <c r="A9" s="25">
        <v>1007</v>
      </c>
      <c r="B9" s="24" t="s">
        <v>115</v>
      </c>
      <c r="C9" s="24" t="s">
        <v>11</v>
      </c>
      <c r="D9" s="24" t="s">
        <v>113</v>
      </c>
      <c r="E9" s="24" t="s">
        <v>114</v>
      </c>
      <c r="F9" s="25">
        <v>2</v>
      </c>
      <c r="G9" s="25">
        <v>100000</v>
      </c>
      <c r="H9" s="24"/>
    </row>
    <row r="10" spans="1:8" ht="15.75" thickBot="1" x14ac:dyDescent="0.3">
      <c r="A10" s="25">
        <v>1008</v>
      </c>
      <c r="B10" s="24" t="s">
        <v>73</v>
      </c>
      <c r="C10" s="24" t="s">
        <v>116</v>
      </c>
      <c r="D10" s="24" t="s">
        <v>112</v>
      </c>
      <c r="E10" s="24" t="s">
        <v>109</v>
      </c>
      <c r="F10" s="25">
        <v>4</v>
      </c>
      <c r="G10" s="25">
        <v>12000</v>
      </c>
      <c r="H10" s="24"/>
    </row>
    <row r="11" spans="1:8" ht="15.75" thickBot="1" x14ac:dyDescent="0.3">
      <c r="A11" s="25">
        <v>1009</v>
      </c>
      <c r="B11" s="24" t="s">
        <v>110</v>
      </c>
      <c r="C11" s="24" t="s">
        <v>111</v>
      </c>
      <c r="D11" s="24" t="s">
        <v>108</v>
      </c>
      <c r="E11" s="24" t="s">
        <v>117</v>
      </c>
      <c r="F11" s="25">
        <v>6</v>
      </c>
      <c r="G11" s="25">
        <v>6000</v>
      </c>
      <c r="H11" s="24"/>
    </row>
    <row r="12" spans="1:8" ht="15.75" thickBot="1" x14ac:dyDescent="0.3">
      <c r="A12" s="25">
        <v>1010</v>
      </c>
      <c r="B12" s="24" t="s">
        <v>115</v>
      </c>
      <c r="C12" s="24" t="s">
        <v>11</v>
      </c>
      <c r="D12" s="24" t="s">
        <v>108</v>
      </c>
      <c r="E12" s="24" t="s">
        <v>117</v>
      </c>
      <c r="F12" s="25">
        <v>1</v>
      </c>
      <c r="G12" s="25">
        <v>50000</v>
      </c>
      <c r="H12" s="24"/>
    </row>
    <row r="13" spans="1:8" ht="15.75" thickBot="1" x14ac:dyDescent="0.3">
      <c r="A13" s="24"/>
      <c r="B13" s="24"/>
      <c r="C13" s="24"/>
      <c r="D13" s="24"/>
      <c r="E13" s="24"/>
      <c r="F13" s="24"/>
      <c r="G13" s="24"/>
      <c r="H13" s="24"/>
    </row>
    <row r="14" spans="1:8" ht="15.75" thickBot="1" x14ac:dyDescent="0.3">
      <c r="A14" s="26"/>
      <c r="B14" s="26"/>
      <c r="C14" s="26"/>
      <c r="D14" s="27"/>
      <c r="E14" s="28"/>
      <c r="F14" s="28"/>
      <c r="G14" s="28"/>
      <c r="H14" s="28"/>
    </row>
    <row r="15" spans="1:8" ht="27" thickBot="1" x14ac:dyDescent="0.3">
      <c r="D15" s="11"/>
      <c r="E15" s="29" t="s">
        <v>102</v>
      </c>
      <c r="F15" s="29" t="s">
        <v>103</v>
      </c>
      <c r="G15" s="29" t="s">
        <v>104</v>
      </c>
      <c r="H15" s="29" t="s">
        <v>105</v>
      </c>
    </row>
    <row r="16" spans="1:8" x14ac:dyDescent="0.25">
      <c r="E16" s="30" t="s">
        <v>135</v>
      </c>
      <c r="F16" s="30" t="s">
        <v>11</v>
      </c>
      <c r="G16" s="30" t="s">
        <v>135</v>
      </c>
      <c r="H16" s="30" t="s">
        <v>135</v>
      </c>
    </row>
    <row r="17" spans="4:5" x14ac:dyDescent="0.25">
      <c r="D17" s="9" t="s">
        <v>136</v>
      </c>
      <c r="E17">
        <f>SUMIFS(G2:G12,B2:B12,IF(E16="All","*",E16),C2:C12,IF(F16="All","*",F16),D2:D12,IF(G16="All","*",G16),E2:E12,IF(H16="All","*",H16))</f>
        <v>450000</v>
      </c>
    </row>
    <row r="18" spans="4:5" x14ac:dyDescent="0.25">
      <c r="D18" s="9"/>
    </row>
    <row r="19" spans="4:5" x14ac:dyDescent="0.25">
      <c r="D19" s="9" t="s">
        <v>137</v>
      </c>
      <c r="E19">
        <f>COUNTIFS(B2:B12,IF(E16="All","*",E16),C2:C12,IF(F16="All","*",F16),D2:D12,IF(G16="All","*",G16),E2:E12,IF(H16="All","*",H16))</f>
        <v>5</v>
      </c>
    </row>
    <row r="21" spans="4:5" x14ac:dyDescent="0.25">
      <c r="D21" s="9" t="s">
        <v>138</v>
      </c>
      <c r="E21">
        <f>SUMIFS(F2:F12,B2:B12,IF(E16="All","*",E16),C2:C12,IF(F16="All","*",F16),D2:D12,IF(G16="All","*",G16),E2:E12,IF(H16="All","*",H16))</f>
        <v>9</v>
      </c>
    </row>
  </sheetData>
  <dataValidations count="4">
    <dataValidation type="list" allowBlank="1" showInputMessage="1" showErrorMessage="1" sqref="E16" xr:uid="{C79CD3EE-01DC-4893-B3D0-5F6AE32E42C3}">
      <formula1>$B$2:$B$12</formula1>
    </dataValidation>
    <dataValidation type="list" allowBlank="1" showInputMessage="1" showErrorMessage="1" sqref="F16" xr:uid="{92D3FC52-7086-4653-93B8-72DACC840EF5}">
      <formula1>$C$2:$C$12</formula1>
    </dataValidation>
    <dataValidation type="list" allowBlank="1" showInputMessage="1" showErrorMessage="1" sqref="G16" xr:uid="{E4FF1A0F-EBC6-4119-9393-F017A14F748A}">
      <formula1>$D$2:$D$12</formula1>
    </dataValidation>
    <dataValidation type="list" allowBlank="1" showInputMessage="1" showErrorMessage="1" sqref="H16" xr:uid="{BE945663-1C5F-4D9A-B3BF-22ACE32A607E}">
      <formula1>$E$2:$E$12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5815-4998-4A5C-8DCE-DA49B07EC155}">
  <dimension ref="A2:G7"/>
  <sheetViews>
    <sheetView tabSelected="1" zoomScale="160" zoomScaleNormal="160" workbookViewId="0">
      <selection activeCell="H4" sqref="H4"/>
    </sheetView>
  </sheetViews>
  <sheetFormatPr defaultRowHeight="15" x14ac:dyDescent="0.25"/>
  <cols>
    <col min="3" max="3" width="11.28515625" bestFit="1" customWidth="1"/>
    <col min="4" max="4" width="11.7109375" bestFit="1" customWidth="1"/>
    <col min="7" max="7" width="12.42578125" bestFit="1" customWidth="1"/>
  </cols>
  <sheetData>
    <row r="2" spans="1:7" x14ac:dyDescent="0.25">
      <c r="A2" s="31" t="s">
        <v>139</v>
      </c>
      <c r="B2" s="31" t="s">
        <v>69</v>
      </c>
      <c r="C2" s="31" t="s">
        <v>140</v>
      </c>
      <c r="D2" s="31" t="s">
        <v>149</v>
      </c>
      <c r="E2" s="31" t="s">
        <v>151</v>
      </c>
      <c r="G2" s="31" t="s">
        <v>159</v>
      </c>
    </row>
    <row r="3" spans="1:7" x14ac:dyDescent="0.25">
      <c r="A3">
        <v>101</v>
      </c>
      <c r="B3" t="s">
        <v>141</v>
      </c>
      <c r="C3" t="s">
        <v>144</v>
      </c>
      <c r="D3" s="4">
        <v>45414</v>
      </c>
      <c r="E3">
        <f>VLOOKUP(Sheet1!A3,Sheet6!$A$2:$B$6,2,FALSE)</f>
        <v>25000</v>
      </c>
      <c r="G3">
        <f>VLOOKUP(A3,Sheet7!$A$2:$B$6,2)</f>
        <v>35000</v>
      </c>
    </row>
    <row r="4" spans="1:7" x14ac:dyDescent="0.25">
      <c r="A4">
        <v>102</v>
      </c>
      <c r="B4" t="s">
        <v>142</v>
      </c>
      <c r="C4" t="s">
        <v>146</v>
      </c>
      <c r="D4" s="4">
        <v>45211</v>
      </c>
      <c r="E4">
        <f>VLOOKUP(Sheet1!A4,Sheet6!$A$2:$B$6,2,FALSE)</f>
        <v>30000</v>
      </c>
      <c r="G4">
        <f>VLOOKUP(A4,Sheet7!$A$2:$B$6,2)</f>
        <v>15000</v>
      </c>
    </row>
    <row r="5" spans="1:7" x14ac:dyDescent="0.25">
      <c r="A5">
        <v>103</v>
      </c>
      <c r="B5" t="s">
        <v>74</v>
      </c>
      <c r="C5" t="s">
        <v>145</v>
      </c>
      <c r="D5" s="4">
        <v>45874</v>
      </c>
      <c r="E5">
        <f>VLOOKUP(Sheet1!A5,Sheet6!$A$2:$B$6,2,FALSE)</f>
        <v>35000</v>
      </c>
      <c r="G5">
        <f>VLOOKUP(A5,Sheet7!$A$2:$B$6,2)</f>
        <v>20000</v>
      </c>
    </row>
    <row r="6" spans="1:7" x14ac:dyDescent="0.25">
      <c r="A6">
        <v>104</v>
      </c>
      <c r="B6" t="s">
        <v>64</v>
      </c>
      <c r="C6" t="s">
        <v>145</v>
      </c>
      <c r="D6" t="s">
        <v>150</v>
      </c>
      <c r="E6">
        <f>VLOOKUP(Sheet1!A6,Sheet6!$A$2:$B$6,2,FALSE)</f>
        <v>28000</v>
      </c>
      <c r="G6">
        <f>VLOOKUP(A6,Sheet7!$A$2:$B$6,2)</f>
        <v>25000</v>
      </c>
    </row>
    <row r="7" spans="1:7" x14ac:dyDescent="0.25">
      <c r="A7">
        <v>105</v>
      </c>
      <c r="B7" t="s">
        <v>143</v>
      </c>
      <c r="C7" t="s">
        <v>147</v>
      </c>
      <c r="D7" s="4">
        <v>45580</v>
      </c>
      <c r="E7">
        <f>VLOOKUP(Sheet1!A7,Sheet6!$A$2:$B$6,2,FALSE)</f>
        <v>22000</v>
      </c>
      <c r="G7">
        <f>VLOOKUP(A7,Sheet7!$A$2:$B$6,2)</f>
        <v>10000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6C7E-9E33-4E4F-B8DD-A1E08D183FD2}">
  <dimension ref="A1:B6"/>
  <sheetViews>
    <sheetView zoomScale="170" zoomScaleNormal="170" workbookViewId="0">
      <selection activeCell="A3" sqref="A3"/>
    </sheetView>
  </sheetViews>
  <sheetFormatPr defaultRowHeight="15" x14ac:dyDescent="0.25"/>
  <sheetData>
    <row r="1" spans="1:2" x14ac:dyDescent="0.25">
      <c r="A1" s="32" t="s">
        <v>84</v>
      </c>
      <c r="B1" s="32" t="s">
        <v>148</v>
      </c>
    </row>
    <row r="2" spans="1:2" x14ac:dyDescent="0.25">
      <c r="A2">
        <v>105</v>
      </c>
      <c r="B2">
        <v>22000</v>
      </c>
    </row>
    <row r="3" spans="1:2" x14ac:dyDescent="0.25">
      <c r="A3">
        <v>102</v>
      </c>
      <c r="B3">
        <v>30000</v>
      </c>
    </row>
    <row r="4" spans="1:2" x14ac:dyDescent="0.25">
      <c r="A4">
        <v>103</v>
      </c>
      <c r="B4">
        <v>35000</v>
      </c>
    </row>
    <row r="5" spans="1:2" x14ac:dyDescent="0.25">
      <c r="A5">
        <v>104</v>
      </c>
      <c r="B5">
        <v>28000</v>
      </c>
    </row>
    <row r="6" spans="1:2" x14ac:dyDescent="0.25">
      <c r="A6">
        <v>101</v>
      </c>
      <c r="B6">
        <v>25000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8766-62D8-4723-8A02-A5DD273C5019}">
  <dimension ref="A1:C6"/>
  <sheetViews>
    <sheetView zoomScale="160" zoomScaleNormal="160" workbookViewId="0">
      <selection activeCell="C9" sqref="C9"/>
    </sheetView>
  </sheetViews>
  <sheetFormatPr defaultRowHeight="15" x14ac:dyDescent="0.25"/>
  <cols>
    <col min="2" max="2" width="13.7109375" bestFit="1" customWidth="1"/>
    <col min="3" max="4" width="14.5703125" bestFit="1" customWidth="1"/>
  </cols>
  <sheetData>
    <row r="1" spans="1:3" x14ac:dyDescent="0.25">
      <c r="A1" s="9" t="s">
        <v>84</v>
      </c>
      <c r="B1" s="9" t="s">
        <v>158</v>
      </c>
      <c r="C1" s="9" t="s">
        <v>152</v>
      </c>
    </row>
    <row r="2" spans="1:3" x14ac:dyDescent="0.25">
      <c r="A2">
        <v>101</v>
      </c>
      <c r="B2">
        <v>35000</v>
      </c>
      <c r="C2" t="s">
        <v>153</v>
      </c>
    </row>
    <row r="3" spans="1:3" x14ac:dyDescent="0.25">
      <c r="A3">
        <v>102</v>
      </c>
      <c r="B3">
        <v>15000</v>
      </c>
      <c r="C3" t="s">
        <v>154</v>
      </c>
    </row>
    <row r="4" spans="1:3" x14ac:dyDescent="0.25">
      <c r="A4">
        <v>103</v>
      </c>
      <c r="B4">
        <v>20000</v>
      </c>
      <c r="C4" t="s">
        <v>155</v>
      </c>
    </row>
    <row r="5" spans="1:3" x14ac:dyDescent="0.25">
      <c r="A5">
        <v>104</v>
      </c>
      <c r="B5">
        <v>25000</v>
      </c>
      <c r="C5" t="s">
        <v>156</v>
      </c>
    </row>
    <row r="6" spans="1:3" x14ac:dyDescent="0.25">
      <c r="A6">
        <v>105</v>
      </c>
      <c r="B6">
        <v>10000</v>
      </c>
      <c r="C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 2</vt:lpstr>
      <vt:lpstr>concat</vt:lpstr>
      <vt:lpstr>Sheet2</vt:lpstr>
      <vt:lpstr>Sheet3</vt:lpstr>
      <vt:lpstr>Sheet4</vt:lpstr>
      <vt:lpstr>Sheet5</vt:lpstr>
      <vt:lpstr>practice 1</vt:lpstr>
      <vt:lpstr>data validtion</vt:lpstr>
      <vt:lpstr>Sheet1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bitkhanan</dc:creator>
  <cp:lastModifiedBy>bitkhanan</cp:lastModifiedBy>
  <dcterms:created xsi:type="dcterms:W3CDTF">2026-07-30T18:09:07Z</dcterms:created>
  <dcterms:modified xsi:type="dcterms:W3CDTF">2026-08-06T16:32:33Z</dcterms:modified>
</cp:coreProperties>
</file>